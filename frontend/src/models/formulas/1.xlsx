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an\Downloads\f\"/>
    </mc:Choice>
  </mc:AlternateContent>
  <xr:revisionPtr revIDLastSave="0" documentId="13_ncr:1_{DC823DE3-C97D-4412-BA17-A0A5F7E3A19D}" xr6:coauthVersionLast="47" xr6:coauthVersionMax="47" xr10:uidLastSave="{00000000-0000-0000-0000-000000000000}"/>
  <bookViews>
    <workbookView xWindow="-120" yWindow="-120" windowWidth="20730" windowHeight="11040" xr2:uid="{3E935751-098B-45D0-A9EC-8230AA5331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R3" i="1"/>
  <c r="P16" i="1"/>
  <c r="R8" i="1"/>
  <c r="S3" i="1" l="1"/>
  <c r="P14" i="1"/>
  <c r="B65" i="1"/>
  <c r="L72" i="1"/>
  <c r="L75" i="1" s="1"/>
  <c r="B72" i="1"/>
  <c r="L65" i="1"/>
  <c r="L58" i="1"/>
  <c r="B58" i="1"/>
  <c r="B100" i="1"/>
  <c r="L93" i="1"/>
  <c r="L96" i="1" s="1"/>
  <c r="L107" i="1"/>
  <c r="L110" i="1" s="1"/>
  <c r="B107" i="1"/>
  <c r="B93" i="1"/>
  <c r="B96" i="1" s="1"/>
  <c r="L100" i="1"/>
  <c r="L103" i="1" s="1"/>
  <c r="L79" i="1"/>
  <c r="L86" i="1"/>
  <c r="B86" i="1"/>
  <c r="B89" i="1" s="1"/>
  <c r="B79" i="1"/>
  <c r="L51" i="1"/>
  <c r="B51" i="1"/>
  <c r="L44" i="1"/>
  <c r="B44" i="1"/>
  <c r="L36" i="1"/>
  <c r="B36" i="1"/>
  <c r="L29" i="1"/>
  <c r="B29" i="1"/>
  <c r="B32" i="1" s="1"/>
  <c r="R14" i="1"/>
  <c r="P8" i="1"/>
  <c r="Q14" i="1"/>
  <c r="S14" i="1" l="1"/>
  <c r="S18" i="1" s="1"/>
  <c r="B17" i="1" s="1"/>
  <c r="B16" i="1"/>
  <c r="N6" i="1"/>
  <c r="N122" i="1" s="1"/>
  <c r="H6" i="1"/>
  <c r="H122" i="1" s="1"/>
  <c r="M6" i="1"/>
  <c r="M122" i="1" s="1"/>
  <c r="E6" i="1"/>
  <c r="E122" i="1" s="1"/>
  <c r="L68" i="1"/>
  <c r="L61" i="1"/>
  <c r="M61" i="1"/>
  <c r="L82" i="1"/>
  <c r="L89" i="1"/>
  <c r="L6" i="1"/>
  <c r="L122" i="1" s="1"/>
  <c r="B6" i="1"/>
  <c r="B122" i="1" s="1"/>
  <c r="L54" i="1"/>
  <c r="M54" i="1"/>
  <c r="L47" i="1"/>
  <c r="M47" i="1"/>
  <c r="M39" i="1"/>
  <c r="L39" i="1"/>
  <c r="L32" i="1"/>
  <c r="M32" i="1"/>
  <c r="AA14" i="1"/>
  <c r="I16" i="1"/>
  <c r="D32" i="1"/>
  <c r="C32" i="1"/>
  <c r="I110" i="1"/>
  <c r="H110" i="1"/>
  <c r="G110" i="1"/>
  <c r="F110" i="1"/>
  <c r="E110" i="1"/>
  <c r="D110" i="1"/>
  <c r="C110" i="1"/>
  <c r="J110" i="1"/>
  <c r="B110" i="1"/>
  <c r="J103" i="1"/>
  <c r="H103" i="1"/>
  <c r="E103" i="1"/>
  <c r="C103" i="1"/>
  <c r="B103" i="1"/>
  <c r="I103" i="1"/>
  <c r="G103" i="1"/>
  <c r="F103" i="1"/>
  <c r="D103" i="1"/>
  <c r="J96" i="1"/>
  <c r="I96" i="1"/>
  <c r="H96" i="1"/>
  <c r="G96" i="1"/>
  <c r="F96" i="1"/>
  <c r="E96" i="1"/>
  <c r="D96" i="1"/>
  <c r="C96" i="1"/>
  <c r="I89" i="1"/>
  <c r="G89" i="1"/>
  <c r="E89" i="1"/>
  <c r="J89" i="1"/>
  <c r="H89" i="1"/>
  <c r="F89" i="1"/>
  <c r="D89" i="1"/>
  <c r="C89" i="1"/>
  <c r="F32" i="1"/>
  <c r="G32" i="1"/>
  <c r="I32" i="1"/>
  <c r="E32" i="1"/>
  <c r="H32" i="1"/>
  <c r="J32" i="1"/>
  <c r="B82" i="1"/>
  <c r="J82" i="1"/>
  <c r="I82" i="1"/>
  <c r="H82" i="1"/>
  <c r="G82" i="1"/>
  <c r="F82" i="1"/>
  <c r="E82" i="1"/>
  <c r="D82" i="1"/>
  <c r="C82" i="1"/>
  <c r="B68" i="1"/>
  <c r="J68" i="1"/>
  <c r="I68" i="1"/>
  <c r="H68" i="1"/>
  <c r="G68" i="1"/>
  <c r="F68" i="1"/>
  <c r="E68" i="1"/>
  <c r="D68" i="1"/>
  <c r="C68" i="1"/>
  <c r="B54" i="1"/>
  <c r="I54" i="1"/>
  <c r="G54" i="1"/>
  <c r="E54" i="1"/>
  <c r="C54" i="1"/>
  <c r="J54" i="1"/>
  <c r="H54" i="1"/>
  <c r="F54" i="1"/>
  <c r="D54" i="1"/>
  <c r="B75" i="1"/>
  <c r="J75" i="1"/>
  <c r="I75" i="1"/>
  <c r="H75" i="1"/>
  <c r="G75" i="1"/>
  <c r="F75" i="1"/>
  <c r="E75" i="1"/>
  <c r="D75" i="1"/>
  <c r="C75" i="1"/>
  <c r="B61" i="1"/>
  <c r="J61" i="1"/>
  <c r="I61" i="1"/>
  <c r="G61" i="1"/>
  <c r="E61" i="1"/>
  <c r="C61" i="1"/>
  <c r="H61" i="1"/>
  <c r="F61" i="1"/>
  <c r="D61" i="1"/>
  <c r="J47" i="1"/>
  <c r="I47" i="1"/>
  <c r="H47" i="1"/>
  <c r="F47" i="1"/>
  <c r="D47" i="1"/>
  <c r="B47" i="1"/>
  <c r="E47" i="1"/>
  <c r="C47" i="1"/>
  <c r="G47" i="1"/>
  <c r="B39" i="1"/>
  <c r="F39" i="1"/>
  <c r="E39" i="1"/>
  <c r="C39" i="1"/>
  <c r="J39" i="1"/>
  <c r="I39" i="1"/>
  <c r="H39" i="1"/>
  <c r="G39" i="1"/>
  <c r="D39" i="1"/>
  <c r="J16" i="1"/>
  <c r="H16" i="1"/>
  <c r="U14" i="1"/>
  <c r="M16" i="1"/>
  <c r="N16" i="1"/>
  <c r="L16" i="1"/>
  <c r="Q8" i="1"/>
  <c r="Z14" i="1"/>
  <c r="F16" i="1"/>
  <c r="G16" i="1"/>
  <c r="E16" i="1"/>
  <c r="Y14" i="1"/>
  <c r="D16" i="1"/>
  <c r="C16" i="1"/>
  <c r="Y18" i="1"/>
  <c r="D17" i="1" s="1"/>
  <c r="D7" i="1"/>
  <c r="X14" i="1"/>
  <c r="T14" i="1"/>
  <c r="E30" i="1" s="1"/>
  <c r="W14" i="1"/>
  <c r="V14" i="1"/>
  <c r="N114" i="1" l="1"/>
  <c r="N118" i="1"/>
  <c r="N116" i="1"/>
  <c r="H114" i="1"/>
  <c r="H118" i="1"/>
  <c r="H116" i="1"/>
  <c r="M114" i="1"/>
  <c r="M118" i="1"/>
  <c r="M116" i="1"/>
  <c r="E114" i="1"/>
  <c r="E118" i="1"/>
  <c r="E116" i="1"/>
  <c r="L114" i="1"/>
  <c r="L118" i="1"/>
  <c r="L116" i="1"/>
  <c r="B116" i="1"/>
  <c r="B114" i="1"/>
  <c r="B118" i="1"/>
  <c r="L73" i="1"/>
  <c r="L108" i="1"/>
  <c r="J108" i="1"/>
  <c r="J87" i="1"/>
  <c r="J80" i="1"/>
  <c r="L101" i="1"/>
  <c r="L59" i="1"/>
  <c r="L80" i="1"/>
  <c r="L87" i="1"/>
  <c r="L94" i="1"/>
  <c r="M59" i="1"/>
  <c r="L66" i="1"/>
  <c r="I37" i="1"/>
  <c r="I94" i="1"/>
  <c r="F101" i="1"/>
  <c r="F66" i="1"/>
  <c r="F59" i="1"/>
  <c r="F60" i="1" s="1"/>
  <c r="F73" i="1"/>
  <c r="B52" i="1"/>
  <c r="B59" i="1"/>
  <c r="B73" i="1"/>
  <c r="B66" i="1"/>
  <c r="M52" i="1"/>
  <c r="L52" i="1"/>
  <c r="F45" i="1"/>
  <c r="F52" i="1"/>
  <c r="J101" i="1"/>
  <c r="J94" i="1"/>
  <c r="J45" i="1"/>
  <c r="J37" i="1"/>
  <c r="J73" i="1"/>
  <c r="J66" i="1"/>
  <c r="J59" i="1"/>
  <c r="J52" i="1"/>
  <c r="J30" i="1"/>
  <c r="AA18" i="1"/>
  <c r="J17" i="1" s="1"/>
  <c r="J19" i="1" s="1"/>
  <c r="J7" i="1"/>
  <c r="M45" i="1"/>
  <c r="L45" i="1"/>
  <c r="M37" i="1"/>
  <c r="L37" i="1"/>
  <c r="M30" i="1"/>
  <c r="L30" i="1"/>
  <c r="B45" i="1"/>
  <c r="B37" i="1"/>
  <c r="B30" i="1"/>
  <c r="H108" i="1"/>
  <c r="H101" i="1"/>
  <c r="G108" i="1"/>
  <c r="G101" i="1"/>
  <c r="D108" i="1"/>
  <c r="D101" i="1"/>
  <c r="I101" i="1"/>
  <c r="I108" i="1"/>
  <c r="E108" i="1"/>
  <c r="E101" i="1"/>
  <c r="F108" i="1"/>
  <c r="B108" i="1"/>
  <c r="B101" i="1"/>
  <c r="B94" i="1"/>
  <c r="C108" i="1"/>
  <c r="C101" i="1"/>
  <c r="H94" i="1"/>
  <c r="H87" i="1"/>
  <c r="G94" i="1"/>
  <c r="G87" i="1"/>
  <c r="D94" i="1"/>
  <c r="D87" i="1"/>
  <c r="I87" i="1"/>
  <c r="E87" i="1"/>
  <c r="E94" i="1"/>
  <c r="F94" i="1"/>
  <c r="F87" i="1"/>
  <c r="B87" i="1"/>
  <c r="C94" i="1"/>
  <c r="C87" i="1"/>
  <c r="H7" i="1"/>
  <c r="H66" i="1"/>
  <c r="H80" i="1"/>
  <c r="H30" i="1"/>
  <c r="H37" i="1"/>
  <c r="H73" i="1"/>
  <c r="H45" i="1"/>
  <c r="H52" i="1"/>
  <c r="H59" i="1"/>
  <c r="G80" i="1"/>
  <c r="G30" i="1"/>
  <c r="G52" i="1"/>
  <c r="G45" i="1"/>
  <c r="G73" i="1"/>
  <c r="G59" i="1"/>
  <c r="G37" i="1"/>
  <c r="G66" i="1"/>
  <c r="D66" i="1"/>
  <c r="D80" i="1"/>
  <c r="D37" i="1"/>
  <c r="D59" i="1"/>
  <c r="D30" i="1"/>
  <c r="D52" i="1"/>
  <c r="D45" i="1"/>
  <c r="D73" i="1"/>
  <c r="I80" i="1"/>
  <c r="I45" i="1"/>
  <c r="I30" i="1"/>
  <c r="I66" i="1"/>
  <c r="I73" i="1"/>
  <c r="I52" i="1"/>
  <c r="I59" i="1"/>
  <c r="E73" i="1"/>
  <c r="E66" i="1"/>
  <c r="E45" i="1"/>
  <c r="E59" i="1"/>
  <c r="E52" i="1"/>
  <c r="E80" i="1"/>
  <c r="E37" i="1"/>
  <c r="F37" i="1"/>
  <c r="F80" i="1"/>
  <c r="F30" i="1"/>
  <c r="B80" i="1"/>
  <c r="C52" i="1"/>
  <c r="C80" i="1"/>
  <c r="C59" i="1"/>
  <c r="C37" i="1"/>
  <c r="C66" i="1"/>
  <c r="C73" i="1"/>
  <c r="C30" i="1"/>
  <c r="C45" i="1"/>
  <c r="L7" i="1"/>
  <c r="S8" i="1"/>
  <c r="L17" i="1" s="1"/>
  <c r="Z18" i="1"/>
  <c r="G7" i="1"/>
  <c r="D8" i="1"/>
  <c r="V40" i="1"/>
  <c r="U18" i="1"/>
  <c r="H17" i="1" s="1"/>
  <c r="X18" i="1"/>
  <c r="I17" i="1" s="1"/>
  <c r="I7" i="1"/>
  <c r="T18" i="1"/>
  <c r="E17" i="1" s="1"/>
  <c r="E7" i="1"/>
  <c r="W18" i="1"/>
  <c r="F17" i="1" s="1"/>
  <c r="F7" i="1"/>
  <c r="B7" i="1"/>
  <c r="V18" i="1"/>
  <c r="C17" i="1" s="1"/>
  <c r="C7" i="1"/>
  <c r="L76" i="1" l="1"/>
  <c r="L74" i="1"/>
  <c r="L77" i="1" s="1"/>
  <c r="J111" i="1"/>
  <c r="J112" i="1" s="1"/>
  <c r="J109" i="1"/>
  <c r="L19" i="1"/>
  <c r="G8" i="1"/>
  <c r="G17" i="1"/>
  <c r="G19" i="1" s="1"/>
  <c r="G21" i="1" s="1"/>
  <c r="B19" i="1"/>
  <c r="L102" i="1"/>
  <c r="L104" i="1"/>
  <c r="L105" i="1" s="1"/>
  <c r="L109" i="1"/>
  <c r="L111" i="1"/>
  <c r="L112" i="1" s="1"/>
  <c r="L60" i="1"/>
  <c r="L62" i="1"/>
  <c r="L63" i="1" s="1"/>
  <c r="L81" i="1"/>
  <c r="L83" i="1"/>
  <c r="L84" i="1" s="1"/>
  <c r="L88" i="1"/>
  <c r="L90" i="1"/>
  <c r="L91" i="1" s="1"/>
  <c r="L95" i="1"/>
  <c r="L97" i="1"/>
  <c r="L98" i="1" s="1"/>
  <c r="M60" i="1"/>
  <c r="M62" i="1"/>
  <c r="M63" i="1" s="1"/>
  <c r="L67" i="1"/>
  <c r="L69" i="1"/>
  <c r="L70" i="1" s="1"/>
  <c r="M53" i="1"/>
  <c r="M55" i="1"/>
  <c r="M56" i="1" s="1"/>
  <c r="L53" i="1"/>
  <c r="L55" i="1"/>
  <c r="L56" i="1" s="1"/>
  <c r="J102" i="1"/>
  <c r="J104" i="1"/>
  <c r="J105" i="1" s="1"/>
  <c r="J95" i="1"/>
  <c r="J97" i="1"/>
  <c r="J98" i="1" s="1"/>
  <c r="J88" i="1"/>
  <c r="J90" i="1"/>
  <c r="J91" i="1" s="1"/>
  <c r="J83" i="1"/>
  <c r="J84" i="1" s="1"/>
  <c r="J81" i="1"/>
  <c r="J48" i="1"/>
  <c r="J49" i="1" s="1"/>
  <c r="J46" i="1"/>
  <c r="J40" i="1"/>
  <c r="J41" i="1" s="1"/>
  <c r="J38" i="1"/>
  <c r="J76" i="1"/>
  <c r="J77" i="1" s="1"/>
  <c r="J74" i="1"/>
  <c r="J69" i="1"/>
  <c r="J70" i="1" s="1"/>
  <c r="J67" i="1"/>
  <c r="J62" i="1"/>
  <c r="J63" i="1" s="1"/>
  <c r="J60" i="1"/>
  <c r="J55" i="1"/>
  <c r="J56" i="1" s="1"/>
  <c r="J53" i="1"/>
  <c r="J33" i="1"/>
  <c r="J34" i="1" s="1"/>
  <c r="J31" i="1"/>
  <c r="J8" i="1"/>
  <c r="X40" i="1"/>
  <c r="M48" i="1"/>
  <c r="M49" i="1" s="1"/>
  <c r="M46" i="1"/>
  <c r="L46" i="1"/>
  <c r="L48" i="1"/>
  <c r="L49" i="1" s="1"/>
  <c r="M38" i="1"/>
  <c r="M40" i="1"/>
  <c r="M41" i="1" s="1"/>
  <c r="L38" i="1"/>
  <c r="L40" i="1"/>
  <c r="L41" i="1" s="1"/>
  <c r="M31" i="1"/>
  <c r="M33" i="1"/>
  <c r="M34" i="1" s="1"/>
  <c r="L31" i="1"/>
  <c r="L33" i="1"/>
  <c r="L34" i="1" s="1"/>
  <c r="H109" i="1"/>
  <c r="H111" i="1"/>
  <c r="H112" i="1" s="1"/>
  <c r="H104" i="1"/>
  <c r="H105" i="1" s="1"/>
  <c r="H102" i="1"/>
  <c r="G109" i="1"/>
  <c r="G111" i="1"/>
  <c r="G112" i="1" s="1"/>
  <c r="G102" i="1"/>
  <c r="G104" i="1"/>
  <c r="G105" i="1" s="1"/>
  <c r="D109" i="1"/>
  <c r="D111" i="1"/>
  <c r="D112" i="1" s="1"/>
  <c r="D102" i="1"/>
  <c r="D104" i="1"/>
  <c r="D105" i="1" s="1"/>
  <c r="I102" i="1"/>
  <c r="I104" i="1"/>
  <c r="I105" i="1" s="1"/>
  <c r="I109" i="1"/>
  <c r="I111" i="1"/>
  <c r="I112" i="1" s="1"/>
  <c r="E109" i="1"/>
  <c r="E111" i="1"/>
  <c r="E112" i="1" s="1"/>
  <c r="E102" i="1"/>
  <c r="E104" i="1"/>
  <c r="E105" i="1" s="1"/>
  <c r="F109" i="1"/>
  <c r="F111" i="1"/>
  <c r="F112" i="1" s="1"/>
  <c r="F102" i="1"/>
  <c r="F104" i="1"/>
  <c r="F105" i="1" s="1"/>
  <c r="B109" i="1"/>
  <c r="B111" i="1"/>
  <c r="B112" i="1" s="1"/>
  <c r="B102" i="1"/>
  <c r="B104" i="1"/>
  <c r="B105" i="1" s="1"/>
  <c r="B95" i="1"/>
  <c r="B97" i="1"/>
  <c r="B98" i="1" s="1"/>
  <c r="C109" i="1"/>
  <c r="C111" i="1"/>
  <c r="C112" i="1" s="1"/>
  <c r="C102" i="1"/>
  <c r="C104" i="1"/>
  <c r="C105" i="1" s="1"/>
  <c r="H95" i="1"/>
  <c r="H97" i="1"/>
  <c r="H98" i="1" s="1"/>
  <c r="H88" i="1"/>
  <c r="H90" i="1"/>
  <c r="H91" i="1" s="1"/>
  <c r="G95" i="1"/>
  <c r="G97" i="1"/>
  <c r="G98" i="1" s="1"/>
  <c r="G88" i="1"/>
  <c r="G90" i="1"/>
  <c r="G91" i="1" s="1"/>
  <c r="D95" i="1"/>
  <c r="D97" i="1"/>
  <c r="D98" i="1" s="1"/>
  <c r="D88" i="1"/>
  <c r="D90" i="1"/>
  <c r="D91" i="1" s="1"/>
  <c r="I95" i="1"/>
  <c r="I97" i="1"/>
  <c r="I98" i="1" s="1"/>
  <c r="I88" i="1"/>
  <c r="I90" i="1"/>
  <c r="I91" i="1" s="1"/>
  <c r="E88" i="1"/>
  <c r="E90" i="1"/>
  <c r="E91" i="1" s="1"/>
  <c r="E95" i="1"/>
  <c r="E97" i="1"/>
  <c r="E98" i="1" s="1"/>
  <c r="F95" i="1"/>
  <c r="F97" i="1"/>
  <c r="F98" i="1" s="1"/>
  <c r="F88" i="1"/>
  <c r="F90" i="1"/>
  <c r="F91" i="1" s="1"/>
  <c r="B90" i="1"/>
  <c r="B91" i="1" s="1"/>
  <c r="B88" i="1"/>
  <c r="C95" i="1"/>
  <c r="C97" i="1"/>
  <c r="C98" i="1" s="1"/>
  <c r="C88" i="1"/>
  <c r="C90" i="1"/>
  <c r="C91" i="1" s="1"/>
  <c r="B31" i="1"/>
  <c r="B33" i="1"/>
  <c r="B34" i="1" s="1"/>
  <c r="C31" i="1"/>
  <c r="C33" i="1"/>
  <c r="C34" i="1" s="1"/>
  <c r="D31" i="1"/>
  <c r="D33" i="1"/>
  <c r="D34" i="1" s="1"/>
  <c r="H69" i="1"/>
  <c r="H70" i="1" s="1"/>
  <c r="H67" i="1"/>
  <c r="H81" i="1"/>
  <c r="H83" i="1"/>
  <c r="H84" i="1" s="1"/>
  <c r="H31" i="1"/>
  <c r="H33" i="1"/>
  <c r="H34" i="1" s="1"/>
  <c r="H38" i="1"/>
  <c r="H40" i="1"/>
  <c r="H41" i="1" s="1"/>
  <c r="H42" i="1" s="1"/>
  <c r="H74" i="1"/>
  <c r="H76" i="1"/>
  <c r="H77" i="1" s="1"/>
  <c r="H46" i="1"/>
  <c r="H48" i="1"/>
  <c r="H49" i="1" s="1"/>
  <c r="H53" i="1"/>
  <c r="H55" i="1"/>
  <c r="H56" i="1" s="1"/>
  <c r="H60" i="1"/>
  <c r="H62" i="1"/>
  <c r="H63" i="1" s="1"/>
  <c r="G81" i="1"/>
  <c r="G83" i="1"/>
  <c r="G84" i="1" s="1"/>
  <c r="G31" i="1"/>
  <c r="G33" i="1"/>
  <c r="G34" i="1" s="1"/>
  <c r="G53" i="1"/>
  <c r="G55" i="1"/>
  <c r="G56" i="1" s="1"/>
  <c r="G46" i="1"/>
  <c r="G48" i="1"/>
  <c r="G49" i="1" s="1"/>
  <c r="G74" i="1"/>
  <c r="G76" i="1"/>
  <c r="G77" i="1" s="1"/>
  <c r="G60" i="1"/>
  <c r="G62" i="1"/>
  <c r="G63" i="1" s="1"/>
  <c r="G38" i="1"/>
  <c r="G40" i="1"/>
  <c r="G41" i="1" s="1"/>
  <c r="G69" i="1"/>
  <c r="G70" i="1" s="1"/>
  <c r="G67" i="1"/>
  <c r="D67" i="1"/>
  <c r="D69" i="1"/>
  <c r="D70" i="1" s="1"/>
  <c r="D81" i="1"/>
  <c r="D83" i="1"/>
  <c r="D84" i="1" s="1"/>
  <c r="D40" i="1"/>
  <c r="D41" i="1" s="1"/>
  <c r="D38" i="1"/>
  <c r="D60" i="1"/>
  <c r="D62" i="1"/>
  <c r="D63" i="1" s="1"/>
  <c r="D53" i="1"/>
  <c r="D55" i="1"/>
  <c r="D56" i="1" s="1"/>
  <c r="D46" i="1"/>
  <c r="D48" i="1"/>
  <c r="D49" i="1" s="1"/>
  <c r="D74" i="1"/>
  <c r="D76" i="1"/>
  <c r="D77" i="1" s="1"/>
  <c r="I81" i="1"/>
  <c r="I83" i="1"/>
  <c r="I84" i="1" s="1"/>
  <c r="I46" i="1"/>
  <c r="I48" i="1"/>
  <c r="I49" i="1" s="1"/>
  <c r="I31" i="1"/>
  <c r="I33" i="1"/>
  <c r="I34" i="1" s="1"/>
  <c r="I69" i="1"/>
  <c r="I70" i="1" s="1"/>
  <c r="I67" i="1"/>
  <c r="I74" i="1"/>
  <c r="I76" i="1"/>
  <c r="I77" i="1" s="1"/>
  <c r="I53" i="1"/>
  <c r="I55" i="1"/>
  <c r="I56" i="1" s="1"/>
  <c r="I60" i="1"/>
  <c r="I62" i="1"/>
  <c r="I63" i="1" s="1"/>
  <c r="I38" i="1"/>
  <c r="I40" i="1"/>
  <c r="I41" i="1" s="1"/>
  <c r="E74" i="1"/>
  <c r="E76" i="1"/>
  <c r="E77" i="1" s="1"/>
  <c r="E69" i="1"/>
  <c r="E70" i="1" s="1"/>
  <c r="E67" i="1"/>
  <c r="E46" i="1"/>
  <c r="E48" i="1"/>
  <c r="E49" i="1" s="1"/>
  <c r="E60" i="1"/>
  <c r="E62" i="1"/>
  <c r="E63" i="1" s="1"/>
  <c r="E53" i="1"/>
  <c r="E55" i="1"/>
  <c r="E56" i="1" s="1"/>
  <c r="E81" i="1"/>
  <c r="E83" i="1"/>
  <c r="E84" i="1" s="1"/>
  <c r="E38" i="1"/>
  <c r="E40" i="1"/>
  <c r="E41" i="1" s="1"/>
  <c r="E31" i="1"/>
  <c r="E33" i="1"/>
  <c r="E34" i="1" s="1"/>
  <c r="F38" i="1"/>
  <c r="F40" i="1"/>
  <c r="F41" i="1" s="1"/>
  <c r="F46" i="1"/>
  <c r="F48" i="1"/>
  <c r="F49" i="1" s="1"/>
  <c r="F74" i="1"/>
  <c r="F76" i="1"/>
  <c r="F77" i="1" s="1"/>
  <c r="F67" i="1"/>
  <c r="F69" i="1"/>
  <c r="F70" i="1" s="1"/>
  <c r="F53" i="1"/>
  <c r="F55" i="1"/>
  <c r="F56" i="1" s="1"/>
  <c r="F62" i="1"/>
  <c r="F63" i="1" s="1"/>
  <c r="F81" i="1"/>
  <c r="F83" i="1"/>
  <c r="F84" i="1" s="1"/>
  <c r="F31" i="1"/>
  <c r="F33" i="1"/>
  <c r="F34" i="1" s="1"/>
  <c r="B74" i="1"/>
  <c r="B76" i="1"/>
  <c r="B77" i="1" s="1"/>
  <c r="B69" i="1"/>
  <c r="B70" i="1" s="1"/>
  <c r="B67" i="1"/>
  <c r="B40" i="1"/>
  <c r="B41" i="1" s="1"/>
  <c r="B38" i="1"/>
  <c r="B46" i="1"/>
  <c r="B48" i="1"/>
  <c r="B49" i="1" s="1"/>
  <c r="B81" i="1"/>
  <c r="B83" i="1"/>
  <c r="B84" i="1" s="1"/>
  <c r="B60" i="1"/>
  <c r="B62" i="1"/>
  <c r="B63" i="1" s="1"/>
  <c r="B53" i="1"/>
  <c r="B55" i="1"/>
  <c r="B56" i="1" s="1"/>
  <c r="C53" i="1"/>
  <c r="C55" i="1"/>
  <c r="C56" i="1" s="1"/>
  <c r="C81" i="1"/>
  <c r="C83" i="1"/>
  <c r="C84" i="1" s="1"/>
  <c r="C62" i="1"/>
  <c r="C63" i="1" s="1"/>
  <c r="C60" i="1"/>
  <c r="C40" i="1"/>
  <c r="C41" i="1" s="1"/>
  <c r="C38" i="1"/>
  <c r="C69" i="1"/>
  <c r="C70" i="1" s="1"/>
  <c r="C67" i="1"/>
  <c r="C74" i="1"/>
  <c r="C76" i="1"/>
  <c r="C77" i="1" s="1"/>
  <c r="C46" i="1"/>
  <c r="C48" i="1"/>
  <c r="C49" i="1" s="1"/>
  <c r="P33" i="1"/>
  <c r="L18" i="1" s="1"/>
  <c r="L8" i="1"/>
  <c r="W40" i="1"/>
  <c r="D19" i="1"/>
  <c r="D21" i="1" s="1"/>
  <c r="D18" i="1"/>
  <c r="D20" i="1" s="1"/>
  <c r="U22" i="1"/>
  <c r="D9" i="1"/>
  <c r="H8" i="1"/>
  <c r="R40" i="1"/>
  <c r="H18" i="1" s="1"/>
  <c r="I8" i="1"/>
  <c r="Z22" i="1" s="1"/>
  <c r="Z26" i="1" s="1"/>
  <c r="U40" i="1"/>
  <c r="I18" i="1" s="1"/>
  <c r="E8" i="1"/>
  <c r="Q40" i="1"/>
  <c r="F8" i="1"/>
  <c r="T40" i="1"/>
  <c r="B8" i="1"/>
  <c r="P40" i="1"/>
  <c r="B18" i="1" s="1"/>
  <c r="B20" i="1" s="1"/>
  <c r="C8" i="1"/>
  <c r="S40" i="1"/>
  <c r="C18" i="1" s="1"/>
  <c r="G42" i="1" l="1"/>
  <c r="L42" i="1"/>
  <c r="M42" i="1"/>
  <c r="J42" i="1"/>
  <c r="G11" i="1"/>
  <c r="X22" i="1"/>
  <c r="X26" i="1" s="1"/>
  <c r="I11" i="1" s="1"/>
  <c r="G9" i="1"/>
  <c r="N20" i="1"/>
  <c r="M20" i="1"/>
  <c r="L20" i="1"/>
  <c r="N21" i="1"/>
  <c r="L21" i="1"/>
  <c r="AA22" i="1"/>
  <c r="AA26" i="1" s="1"/>
  <c r="J11" i="1" s="1"/>
  <c r="J9" i="1"/>
  <c r="J21" i="1"/>
  <c r="J18" i="1"/>
  <c r="J20" i="1" s="1"/>
  <c r="I42" i="1"/>
  <c r="B42" i="1"/>
  <c r="D42" i="1"/>
  <c r="C42" i="1"/>
  <c r="E42" i="1"/>
  <c r="F42" i="1"/>
  <c r="U8" i="1"/>
  <c r="V8" i="1" s="1"/>
  <c r="L9" i="1"/>
  <c r="G18" i="1"/>
  <c r="G20" i="1" s="1"/>
  <c r="H19" i="1"/>
  <c r="H21" i="1" s="1"/>
  <c r="H20" i="1"/>
  <c r="I19" i="1"/>
  <c r="I21" i="1" s="1"/>
  <c r="I20" i="1"/>
  <c r="E19" i="1"/>
  <c r="E21" i="1" s="1"/>
  <c r="E18" i="1"/>
  <c r="E20" i="1" s="1"/>
  <c r="F19" i="1"/>
  <c r="F21" i="1" s="1"/>
  <c r="F18" i="1"/>
  <c r="F20" i="1" s="1"/>
  <c r="C20" i="1"/>
  <c r="C19" i="1"/>
  <c r="C21" i="1" s="1"/>
  <c r="U26" i="1"/>
  <c r="H11" i="1" s="1"/>
  <c r="R19" i="1"/>
  <c r="Y22" i="1"/>
  <c r="Y26" i="1" s="1"/>
  <c r="D11" i="1" s="1"/>
  <c r="H9" i="1"/>
  <c r="I9" i="1"/>
  <c r="V22" i="1"/>
  <c r="V26" i="1" s="1"/>
  <c r="C11" i="1" s="1"/>
  <c r="E9" i="1"/>
  <c r="W22" i="1"/>
  <c r="W26" i="1" s="1"/>
  <c r="F11" i="1" s="1"/>
  <c r="F9" i="1"/>
  <c r="S22" i="1"/>
  <c r="B9" i="1"/>
  <c r="T22" i="1"/>
  <c r="C9" i="1"/>
  <c r="M21" i="1"/>
  <c r="B21" i="1"/>
  <c r="W8" i="1" l="1"/>
  <c r="L10" i="1" s="1"/>
  <c r="L11" i="1"/>
  <c r="H10" i="1"/>
  <c r="H12" i="1" s="1"/>
  <c r="H13" i="1" s="1"/>
  <c r="H14" i="1" s="1"/>
  <c r="J10" i="1"/>
  <c r="J12" i="1" s="1"/>
  <c r="J13" i="1" s="1"/>
  <c r="J14" i="1" s="1"/>
  <c r="I10" i="1"/>
  <c r="I12" i="1" s="1"/>
  <c r="I13" i="1" s="1"/>
  <c r="I14" i="1" s="1"/>
  <c r="S26" i="1"/>
  <c r="B11" i="1" s="1"/>
  <c r="P19" i="1"/>
  <c r="T26" i="1"/>
  <c r="E11" i="1" s="1"/>
  <c r="Q19" i="1"/>
  <c r="AB50" i="1" l="1"/>
  <c r="AC50" i="1" s="1"/>
  <c r="AB155" i="1"/>
  <c r="AF50" i="1"/>
  <c r="AF51" i="1" s="1"/>
  <c r="AF155" i="1"/>
  <c r="AD50" i="1"/>
  <c r="AD155" i="1"/>
  <c r="AD51" i="1"/>
  <c r="AE50" i="1"/>
  <c r="L12" i="1"/>
  <c r="B10" i="1"/>
  <c r="B12" i="1" s="1"/>
  <c r="B13" i="1" s="1"/>
  <c r="B14" i="1" s="1"/>
  <c r="C10" i="1"/>
  <c r="C12" i="1" s="1"/>
  <c r="C13" i="1" s="1"/>
  <c r="C14" i="1" s="1"/>
  <c r="D10" i="1"/>
  <c r="D12" i="1" s="1"/>
  <c r="D13" i="1" s="1"/>
  <c r="D14" i="1" s="1"/>
  <c r="F10" i="1"/>
  <c r="F12" i="1" s="1"/>
  <c r="F13" i="1" s="1"/>
  <c r="F14" i="1" s="1"/>
  <c r="E10" i="1"/>
  <c r="E12" i="1" s="1"/>
  <c r="E13" i="1" s="1"/>
  <c r="E14" i="1" s="1"/>
  <c r="G10" i="1"/>
  <c r="G12" i="1" s="1"/>
  <c r="G13" i="1" s="1"/>
  <c r="G14" i="1" s="1"/>
  <c r="AG50" i="1" l="1"/>
  <c r="AB51" i="1"/>
  <c r="AC51" i="1" s="1"/>
  <c r="AB156" i="1"/>
  <c r="AC155" i="1"/>
  <c r="AF156" i="1"/>
  <c r="AG155" i="1"/>
  <c r="AD156" i="1"/>
  <c r="AE155" i="1"/>
  <c r="P155" i="1"/>
  <c r="P50" i="1"/>
  <c r="R50" i="1"/>
  <c r="S50" i="1" s="1"/>
  <c r="R155" i="1"/>
  <c r="T50" i="1"/>
  <c r="T51" i="1" s="1"/>
  <c r="T155" i="1"/>
  <c r="X50" i="1"/>
  <c r="X155" i="1"/>
  <c r="V50" i="1"/>
  <c r="V155" i="1"/>
  <c r="Z50" i="1"/>
  <c r="Z155" i="1"/>
  <c r="AF52" i="1"/>
  <c r="AG51" i="1"/>
  <c r="AE51" i="1"/>
  <c r="AD52" i="1"/>
  <c r="L13" i="1"/>
  <c r="L14" i="1" s="1"/>
  <c r="N13" i="1"/>
  <c r="M14" i="1" s="1"/>
  <c r="AB52" i="1" l="1"/>
  <c r="U50" i="1"/>
  <c r="X51" i="1"/>
  <c r="Y50" i="1"/>
  <c r="W50" i="1"/>
  <c r="V51" i="1"/>
  <c r="AA50" i="1"/>
  <c r="Z51" i="1"/>
  <c r="AC156" i="1"/>
  <c r="AB157" i="1"/>
  <c r="AG156" i="1"/>
  <c r="AF157" i="1"/>
  <c r="AE156" i="1"/>
  <c r="AD157" i="1"/>
  <c r="P156" i="1"/>
  <c r="Q155" i="1"/>
  <c r="S155" i="1"/>
  <c r="R156" i="1"/>
  <c r="U155" i="1"/>
  <c r="T156" i="1"/>
  <c r="Y155" i="1"/>
  <c r="X156" i="1"/>
  <c r="V156" i="1"/>
  <c r="W155" i="1"/>
  <c r="AA155" i="1"/>
  <c r="Z156" i="1"/>
  <c r="P51" i="1"/>
  <c r="Q51" i="1" s="1"/>
  <c r="R51" i="1"/>
  <c r="Q50" i="1"/>
  <c r="AI155" i="1"/>
  <c r="AI50" i="1"/>
  <c r="AM155" i="1"/>
  <c r="AK155" i="1"/>
  <c r="AB53" i="1"/>
  <c r="AC52" i="1"/>
  <c r="AF53" i="1"/>
  <c r="AG52" i="1"/>
  <c r="AD53" i="1"/>
  <c r="AE52" i="1"/>
  <c r="U51" i="1"/>
  <c r="T52" i="1"/>
  <c r="Y51" i="1"/>
  <c r="X52" i="1"/>
  <c r="W51" i="1"/>
  <c r="V52" i="1"/>
  <c r="Z52" i="1"/>
  <c r="AA51" i="1"/>
  <c r="AM50" i="1"/>
  <c r="AK50" i="1"/>
  <c r="R52" i="1" l="1"/>
  <c r="S51" i="1"/>
  <c r="AB158" i="1"/>
  <c r="AC157" i="1"/>
  <c r="AF158" i="1"/>
  <c r="AG157" i="1"/>
  <c r="AD158" i="1"/>
  <c r="AE157" i="1"/>
  <c r="P157" i="1"/>
  <c r="Q156" i="1"/>
  <c r="S156" i="1"/>
  <c r="R157" i="1"/>
  <c r="U156" i="1"/>
  <c r="T157" i="1"/>
  <c r="Y156" i="1"/>
  <c r="X157" i="1"/>
  <c r="W156" i="1"/>
  <c r="V157" i="1"/>
  <c r="AA156" i="1"/>
  <c r="Z157" i="1"/>
  <c r="AI156" i="1"/>
  <c r="AJ155" i="1"/>
  <c r="AI51" i="1"/>
  <c r="AJ50" i="1"/>
  <c r="AM156" i="1"/>
  <c r="AN155" i="1"/>
  <c r="AK156" i="1"/>
  <c r="AL155" i="1"/>
  <c r="AB54" i="1"/>
  <c r="AC53" i="1"/>
  <c r="AF54" i="1"/>
  <c r="AG53" i="1"/>
  <c r="AD54" i="1"/>
  <c r="AE53" i="1"/>
  <c r="S52" i="1"/>
  <c r="T53" i="1"/>
  <c r="U52" i="1"/>
  <c r="X53" i="1"/>
  <c r="Y52" i="1"/>
  <c r="W52" i="1"/>
  <c r="V53" i="1"/>
  <c r="Z53" i="1"/>
  <c r="AA52" i="1"/>
  <c r="AM51" i="1"/>
  <c r="AN50" i="1"/>
  <c r="AK51" i="1"/>
  <c r="AL50" i="1"/>
  <c r="P52" i="1"/>
  <c r="R53" i="1" s="1"/>
  <c r="AJ51" i="1" l="1"/>
  <c r="AI52" i="1"/>
  <c r="AB159" i="1"/>
  <c r="AC158" i="1"/>
  <c r="AG158" i="1"/>
  <c r="AF159" i="1"/>
  <c r="AE158" i="1"/>
  <c r="AD159" i="1"/>
  <c r="P158" i="1"/>
  <c r="Q157" i="1"/>
  <c r="S157" i="1"/>
  <c r="R158" i="1"/>
  <c r="T158" i="1"/>
  <c r="U157" i="1"/>
  <c r="X158" i="1"/>
  <c r="Y157" i="1"/>
  <c r="V158" i="1"/>
  <c r="W157" i="1"/>
  <c r="Z158" i="1"/>
  <c r="AA157" i="1"/>
  <c r="AJ156" i="1"/>
  <c r="AI157" i="1"/>
  <c r="AN156" i="1"/>
  <c r="AM157" i="1"/>
  <c r="AL156" i="1"/>
  <c r="AK157" i="1"/>
  <c r="AC54" i="1"/>
  <c r="AB55" i="1"/>
  <c r="AF55" i="1"/>
  <c r="AG54" i="1"/>
  <c r="AD55" i="1"/>
  <c r="AE54" i="1"/>
  <c r="S53" i="1"/>
  <c r="U53" i="1"/>
  <c r="T54" i="1"/>
  <c r="X54" i="1"/>
  <c r="Y53" i="1"/>
  <c r="V54" i="1"/>
  <c r="W53" i="1"/>
  <c r="AA53" i="1"/>
  <c r="Z54" i="1"/>
  <c r="AI53" i="1"/>
  <c r="AJ52" i="1"/>
  <c r="AN51" i="1"/>
  <c r="AM52" i="1"/>
  <c r="AL51" i="1"/>
  <c r="AK52" i="1"/>
  <c r="Q52" i="1"/>
  <c r="P53" i="1"/>
  <c r="R54" i="1" s="1"/>
  <c r="AB160" i="1" l="1"/>
  <c r="AC159" i="1"/>
  <c r="AG159" i="1"/>
  <c r="AF160" i="1"/>
  <c r="AE159" i="1"/>
  <c r="AD160" i="1"/>
  <c r="P159" i="1"/>
  <c r="Q158" i="1"/>
  <c r="R159" i="1"/>
  <c r="S158" i="1"/>
  <c r="U158" i="1"/>
  <c r="T159" i="1"/>
  <c r="Y158" i="1"/>
  <c r="X159" i="1"/>
  <c r="W158" i="1"/>
  <c r="V159" i="1"/>
  <c r="AA158" i="1"/>
  <c r="Z159" i="1"/>
  <c r="AI158" i="1"/>
  <c r="AJ157" i="1"/>
  <c r="AM158" i="1"/>
  <c r="AN157" i="1"/>
  <c r="AK158" i="1"/>
  <c r="AL157" i="1"/>
  <c r="AC55" i="1"/>
  <c r="AB56" i="1"/>
  <c r="AG55" i="1"/>
  <c r="AF56" i="1"/>
  <c r="AD56" i="1"/>
  <c r="AE55" i="1"/>
  <c r="S54" i="1"/>
  <c r="U54" i="1"/>
  <c r="T55" i="1"/>
  <c r="X55" i="1"/>
  <c r="Y54" i="1"/>
  <c r="V55" i="1"/>
  <c r="W54" i="1"/>
  <c r="Z55" i="1"/>
  <c r="AA54" i="1"/>
  <c r="AI54" i="1"/>
  <c r="AJ53" i="1"/>
  <c r="AM53" i="1"/>
  <c r="AN52" i="1"/>
  <c r="AK53" i="1"/>
  <c r="AL52" i="1"/>
  <c r="Q53" i="1"/>
  <c r="P54" i="1"/>
  <c r="R55" i="1" s="1"/>
  <c r="AB161" i="1" l="1"/>
  <c r="AC160" i="1"/>
  <c r="AF161" i="1"/>
  <c r="AG160" i="1"/>
  <c r="AE160" i="1"/>
  <c r="AD161" i="1"/>
  <c r="P160" i="1"/>
  <c r="Q159" i="1"/>
  <c r="S159" i="1"/>
  <c r="R160" i="1"/>
  <c r="U159" i="1"/>
  <c r="T160" i="1"/>
  <c r="Y159" i="1"/>
  <c r="X160" i="1"/>
  <c r="W159" i="1"/>
  <c r="V160" i="1"/>
  <c r="AA159" i="1"/>
  <c r="Z160" i="1"/>
  <c r="AI159" i="1"/>
  <c r="AJ158" i="1"/>
  <c r="AN158" i="1"/>
  <c r="AM159" i="1"/>
  <c r="AL158" i="1"/>
  <c r="AK159" i="1"/>
  <c r="AC56" i="1"/>
  <c r="AB57" i="1"/>
  <c r="AG56" i="1"/>
  <c r="AF57" i="1"/>
  <c r="AD57" i="1"/>
  <c r="AE56" i="1"/>
  <c r="S55" i="1"/>
  <c r="T56" i="1"/>
  <c r="U55" i="1"/>
  <c r="X56" i="1"/>
  <c r="Y55" i="1"/>
  <c r="W55" i="1"/>
  <c r="V56" i="1"/>
  <c r="Z56" i="1"/>
  <c r="AA55" i="1"/>
  <c r="AI55" i="1"/>
  <c r="AJ54" i="1"/>
  <c r="AN53" i="1"/>
  <c r="AM54" i="1"/>
  <c r="AL53" i="1"/>
  <c r="AK54" i="1"/>
  <c r="Q54" i="1"/>
  <c r="P55" i="1"/>
  <c r="R56" i="1" s="1"/>
  <c r="AB162" i="1" l="1"/>
  <c r="AC161" i="1"/>
  <c r="AG161" i="1"/>
  <c r="AF162" i="1"/>
  <c r="AE161" i="1"/>
  <c r="AD162" i="1"/>
  <c r="P161" i="1"/>
  <c r="Q160" i="1"/>
  <c r="S160" i="1"/>
  <c r="R161" i="1"/>
  <c r="T161" i="1"/>
  <c r="U160" i="1"/>
  <c r="Y160" i="1"/>
  <c r="X161" i="1"/>
  <c r="W160" i="1"/>
  <c r="V161" i="1"/>
  <c r="AA160" i="1"/>
  <c r="Z161" i="1"/>
  <c r="AI160" i="1"/>
  <c r="AJ159" i="1"/>
  <c r="AN159" i="1"/>
  <c r="AM160" i="1"/>
  <c r="AL159" i="1"/>
  <c r="AK160" i="1"/>
  <c r="AC57" i="1"/>
  <c r="AB58" i="1"/>
  <c r="AF58" i="1"/>
  <c r="AG57" i="1"/>
  <c r="AD58" i="1"/>
  <c r="AE57" i="1"/>
  <c r="S56" i="1"/>
  <c r="U56" i="1"/>
  <c r="T57" i="1"/>
  <c r="X57" i="1"/>
  <c r="Y56" i="1"/>
  <c r="V57" i="1"/>
  <c r="W56" i="1"/>
  <c r="Z57" i="1"/>
  <c r="AA56" i="1"/>
  <c r="AI56" i="1"/>
  <c r="AJ55" i="1"/>
  <c r="AN54" i="1"/>
  <c r="AM55" i="1"/>
  <c r="AL54" i="1"/>
  <c r="AK55" i="1"/>
  <c r="Q55" i="1"/>
  <c r="P56" i="1"/>
  <c r="R57" i="1" s="1"/>
  <c r="AB163" i="1" l="1"/>
  <c r="AC162" i="1"/>
  <c r="AG162" i="1"/>
  <c r="AF163" i="1"/>
  <c r="AE162" i="1"/>
  <c r="AD163" i="1"/>
  <c r="Q161" i="1"/>
  <c r="P162" i="1"/>
  <c r="S161" i="1"/>
  <c r="R162" i="1"/>
  <c r="T162" i="1"/>
  <c r="U161" i="1"/>
  <c r="Y161" i="1"/>
  <c r="X162" i="1"/>
  <c r="W161" i="1"/>
  <c r="V162" i="1"/>
  <c r="AA161" i="1"/>
  <c r="Z162" i="1"/>
  <c r="AI161" i="1"/>
  <c r="AJ160" i="1"/>
  <c r="AN160" i="1"/>
  <c r="AM161" i="1"/>
  <c r="AK161" i="1"/>
  <c r="AL160" i="1"/>
  <c r="AB59" i="1"/>
  <c r="AC58" i="1"/>
  <c r="AG58" i="1"/>
  <c r="AF59" i="1"/>
  <c r="AE58" i="1"/>
  <c r="AD59" i="1"/>
  <c r="S57" i="1"/>
  <c r="T58" i="1"/>
  <c r="U57" i="1"/>
  <c r="X58" i="1"/>
  <c r="Y57" i="1"/>
  <c r="W57" i="1"/>
  <c r="V58" i="1"/>
  <c r="Z58" i="1"/>
  <c r="AA57" i="1"/>
  <c r="AI57" i="1"/>
  <c r="AJ56" i="1"/>
  <c r="AN55" i="1"/>
  <c r="AM56" i="1"/>
  <c r="AL55" i="1"/>
  <c r="AK56" i="1"/>
  <c r="Q56" i="1"/>
  <c r="P57" i="1"/>
  <c r="R58" i="1" s="1"/>
  <c r="AB164" i="1" l="1"/>
  <c r="AC163" i="1"/>
  <c r="AG163" i="1"/>
  <c r="AF164" i="1"/>
  <c r="AE163" i="1"/>
  <c r="AD164" i="1"/>
  <c r="Q162" i="1"/>
  <c r="P163" i="1"/>
  <c r="S162" i="1"/>
  <c r="R163" i="1"/>
  <c r="U162" i="1"/>
  <c r="T163" i="1"/>
  <c r="Y162" i="1"/>
  <c r="X163" i="1"/>
  <c r="W162" i="1"/>
  <c r="V163" i="1"/>
  <c r="AA162" i="1"/>
  <c r="Z163" i="1"/>
  <c r="AI162" i="1"/>
  <c r="AJ161" i="1"/>
  <c r="AN161" i="1"/>
  <c r="AM162" i="1"/>
  <c r="AL161" i="1"/>
  <c r="AK162" i="1"/>
  <c r="AB60" i="1"/>
  <c r="AC59" i="1"/>
  <c r="AG59" i="1"/>
  <c r="AF60" i="1"/>
  <c r="AE59" i="1"/>
  <c r="AD60" i="1"/>
  <c r="S58" i="1"/>
  <c r="U58" i="1"/>
  <c r="T59" i="1"/>
  <c r="X59" i="1"/>
  <c r="Y58" i="1"/>
  <c r="V59" i="1"/>
  <c r="W58" i="1"/>
  <c r="Z59" i="1"/>
  <c r="AA58" i="1"/>
  <c r="AI58" i="1"/>
  <c r="AJ57" i="1"/>
  <c r="AM57" i="1"/>
  <c r="AN56" i="1"/>
  <c r="AL56" i="1"/>
  <c r="AK57" i="1"/>
  <c r="Q57" i="1"/>
  <c r="P58" i="1"/>
  <c r="R59" i="1" s="1"/>
  <c r="AB165" i="1" l="1"/>
  <c r="AC164" i="1"/>
  <c r="AG164" i="1"/>
  <c r="AF165" i="1"/>
  <c r="AE164" i="1"/>
  <c r="AD165" i="1"/>
  <c r="P164" i="1"/>
  <c r="Q163" i="1"/>
  <c r="S163" i="1"/>
  <c r="R164" i="1"/>
  <c r="U163" i="1"/>
  <c r="T164" i="1"/>
  <c r="Y163" i="1"/>
  <c r="X164" i="1"/>
  <c r="W163" i="1"/>
  <c r="V164" i="1"/>
  <c r="AA163" i="1"/>
  <c r="Z164" i="1"/>
  <c r="AI163" i="1"/>
  <c r="AJ162" i="1"/>
  <c r="AN162" i="1"/>
  <c r="AM163" i="1"/>
  <c r="AL162" i="1"/>
  <c r="AK163" i="1"/>
  <c r="AB61" i="1"/>
  <c r="AC60" i="1"/>
  <c r="AG60" i="1"/>
  <c r="AF61" i="1"/>
  <c r="AD61" i="1"/>
  <c r="AE60" i="1"/>
  <c r="S59" i="1"/>
  <c r="T60" i="1"/>
  <c r="U59" i="1"/>
  <c r="X60" i="1"/>
  <c r="Y59" i="1"/>
  <c r="W59" i="1"/>
  <c r="V60" i="1"/>
  <c r="Z60" i="1"/>
  <c r="AA59" i="1"/>
  <c r="AI59" i="1"/>
  <c r="AJ58" i="1"/>
  <c r="AN57" i="1"/>
  <c r="AM58" i="1"/>
  <c r="AL57" i="1"/>
  <c r="AK58" i="1"/>
  <c r="Q58" i="1"/>
  <c r="P59" i="1"/>
  <c r="R60" i="1" s="1"/>
  <c r="AB166" i="1" l="1"/>
  <c r="AC165" i="1"/>
  <c r="AG165" i="1"/>
  <c r="AF166" i="1"/>
  <c r="AE165" i="1"/>
  <c r="AD166" i="1"/>
  <c r="Q164" i="1"/>
  <c r="P165" i="1"/>
  <c r="S164" i="1"/>
  <c r="R165" i="1"/>
  <c r="T165" i="1"/>
  <c r="U164" i="1"/>
  <c r="Y164" i="1"/>
  <c r="X165" i="1"/>
  <c r="V165" i="1"/>
  <c r="W164" i="1"/>
  <c r="AA164" i="1"/>
  <c r="Z165" i="1"/>
  <c r="AI164" i="1"/>
  <c r="AJ163" i="1"/>
  <c r="AN163" i="1"/>
  <c r="AM164" i="1"/>
  <c r="AL163" i="1"/>
  <c r="AK164" i="1"/>
  <c r="AB62" i="1"/>
  <c r="AC61" i="1"/>
  <c r="AF62" i="1"/>
  <c r="AG61" i="1"/>
  <c r="AE61" i="1"/>
  <c r="AD62" i="1"/>
  <c r="S60" i="1"/>
  <c r="T61" i="1"/>
  <c r="U60" i="1"/>
  <c r="X61" i="1"/>
  <c r="Y60" i="1"/>
  <c r="W60" i="1"/>
  <c r="V61" i="1"/>
  <c r="Z61" i="1"/>
  <c r="AA60" i="1"/>
  <c r="AI60" i="1"/>
  <c r="AJ59" i="1"/>
  <c r="AN58" i="1"/>
  <c r="AM59" i="1"/>
  <c r="AK59" i="1"/>
  <c r="AL58" i="1"/>
  <c r="Q59" i="1"/>
  <c r="P60" i="1"/>
  <c r="R61" i="1" s="1"/>
  <c r="AB167" i="1" l="1"/>
  <c r="AC166" i="1"/>
  <c r="AG166" i="1"/>
  <c r="AF167" i="1"/>
  <c r="AE166" i="1"/>
  <c r="AD167" i="1"/>
  <c r="P166" i="1"/>
  <c r="Q165" i="1"/>
  <c r="S165" i="1"/>
  <c r="R166" i="1"/>
  <c r="U165" i="1"/>
  <c r="T166" i="1"/>
  <c r="Y165" i="1"/>
  <c r="X166" i="1"/>
  <c r="W165" i="1"/>
  <c r="V166" i="1"/>
  <c r="Z166" i="1"/>
  <c r="AA165" i="1"/>
  <c r="AI165" i="1"/>
  <c r="AJ164" i="1"/>
  <c r="AN164" i="1"/>
  <c r="AM165" i="1"/>
  <c r="AL164" i="1"/>
  <c r="AK165" i="1"/>
  <c r="AB63" i="1"/>
  <c r="AC62" i="1"/>
  <c r="AF63" i="1"/>
  <c r="AG62" i="1"/>
  <c r="AE62" i="1"/>
  <c r="AD63" i="1"/>
  <c r="S61" i="1"/>
  <c r="T62" i="1"/>
  <c r="U61" i="1"/>
  <c r="X62" i="1"/>
  <c r="Y61" i="1"/>
  <c r="V62" i="1"/>
  <c r="W61" i="1"/>
  <c r="Z62" i="1"/>
  <c r="AA61" i="1"/>
  <c r="AI61" i="1"/>
  <c r="AJ60" i="1"/>
  <c r="AN59" i="1"/>
  <c r="AM60" i="1"/>
  <c r="AL59" i="1"/>
  <c r="AK60" i="1"/>
  <c r="Q60" i="1"/>
  <c r="P61" i="1"/>
  <c r="R62" i="1" s="1"/>
  <c r="AB168" i="1" l="1"/>
  <c r="AC167" i="1"/>
  <c r="AF168" i="1"/>
  <c r="AG167" i="1"/>
  <c r="AE167" i="1"/>
  <c r="AD168" i="1"/>
  <c r="Q166" i="1"/>
  <c r="P167" i="1"/>
  <c r="R167" i="1"/>
  <c r="S166" i="1"/>
  <c r="T167" i="1"/>
  <c r="U166" i="1"/>
  <c r="X167" i="1"/>
  <c r="Y166" i="1"/>
  <c r="V167" i="1"/>
  <c r="W166" i="1"/>
  <c r="AA166" i="1"/>
  <c r="Z167" i="1"/>
  <c r="AI166" i="1"/>
  <c r="AJ165" i="1"/>
  <c r="AN165" i="1"/>
  <c r="AM166" i="1"/>
  <c r="AL165" i="1"/>
  <c r="AK166" i="1"/>
  <c r="AB64" i="1"/>
  <c r="AC63" i="1"/>
  <c r="AF64" i="1"/>
  <c r="AG63" i="1"/>
  <c r="AE63" i="1"/>
  <c r="AD64" i="1"/>
  <c r="S62" i="1"/>
  <c r="T63" i="1"/>
  <c r="U62" i="1"/>
  <c r="X63" i="1"/>
  <c r="Y62" i="1"/>
  <c r="V63" i="1"/>
  <c r="W62" i="1"/>
  <c r="Z63" i="1"/>
  <c r="AA62" i="1"/>
  <c r="AJ61" i="1"/>
  <c r="AI62" i="1"/>
  <c r="AN60" i="1"/>
  <c r="AM61" i="1"/>
  <c r="AL60" i="1"/>
  <c r="AK61" i="1"/>
  <c r="Q61" i="1"/>
  <c r="P62" i="1"/>
  <c r="R63" i="1" s="1"/>
  <c r="AB169" i="1" l="1"/>
  <c r="AC168" i="1"/>
  <c r="AG168" i="1"/>
  <c r="AF169" i="1"/>
  <c r="AE168" i="1"/>
  <c r="AD169" i="1"/>
  <c r="P168" i="1"/>
  <c r="Q167" i="1"/>
  <c r="R168" i="1"/>
  <c r="S167" i="1"/>
  <c r="T168" i="1"/>
  <c r="U167" i="1"/>
  <c r="Y167" i="1"/>
  <c r="X168" i="1"/>
  <c r="V168" i="1"/>
  <c r="W167" i="1"/>
  <c r="Z168" i="1"/>
  <c r="AA167" i="1"/>
  <c r="AI167" i="1"/>
  <c r="AJ166" i="1"/>
  <c r="AN166" i="1"/>
  <c r="AM167" i="1"/>
  <c r="AL166" i="1"/>
  <c r="AK167" i="1"/>
  <c r="AB65" i="1"/>
  <c r="AC64" i="1"/>
  <c r="AF65" i="1"/>
  <c r="AG64" i="1"/>
  <c r="AD65" i="1"/>
  <c r="AE64" i="1"/>
  <c r="S63" i="1"/>
  <c r="T64" i="1"/>
  <c r="U63" i="1"/>
  <c r="X64" i="1"/>
  <c r="Y63" i="1"/>
  <c r="W63" i="1"/>
  <c r="V64" i="1"/>
  <c r="Z64" i="1"/>
  <c r="AA63" i="1"/>
  <c r="AI63" i="1"/>
  <c r="AJ62" i="1"/>
  <c r="AN61" i="1"/>
  <c r="AM62" i="1"/>
  <c r="AK62" i="1"/>
  <c r="AL61" i="1"/>
  <c r="Q62" i="1"/>
  <c r="P63" i="1"/>
  <c r="R64" i="1" s="1"/>
  <c r="AB170" i="1" l="1"/>
  <c r="AC169" i="1"/>
  <c r="AF170" i="1"/>
  <c r="AG169" i="1"/>
  <c r="AE169" i="1"/>
  <c r="AD170" i="1"/>
  <c r="P169" i="1"/>
  <c r="Q168" i="1"/>
  <c r="R169" i="1"/>
  <c r="S168" i="1"/>
  <c r="T169" i="1"/>
  <c r="U168" i="1"/>
  <c r="X169" i="1"/>
  <c r="Y168" i="1"/>
  <c r="V169" i="1"/>
  <c r="W168" i="1"/>
  <c r="Z169" i="1"/>
  <c r="AA168" i="1"/>
  <c r="AI168" i="1"/>
  <c r="AJ167" i="1"/>
  <c r="AN167" i="1"/>
  <c r="AM168" i="1"/>
  <c r="AL167" i="1"/>
  <c r="AK168" i="1"/>
  <c r="AB66" i="1"/>
  <c r="AC65" i="1"/>
  <c r="AF66" i="1"/>
  <c r="AG65" i="1"/>
  <c r="AD66" i="1"/>
  <c r="AE65" i="1"/>
  <c r="S64" i="1"/>
  <c r="T65" i="1"/>
  <c r="U64" i="1"/>
  <c r="X65" i="1"/>
  <c r="Y64" i="1"/>
  <c r="V65" i="1"/>
  <c r="W64" i="1"/>
  <c r="Z65" i="1"/>
  <c r="AA64" i="1"/>
  <c r="AI64" i="1"/>
  <c r="AJ63" i="1"/>
  <c r="AN62" i="1"/>
  <c r="AM63" i="1"/>
  <c r="AK63" i="1"/>
  <c r="AL62" i="1"/>
  <c r="Q63" i="1"/>
  <c r="P64" i="1"/>
  <c r="R65" i="1" s="1"/>
  <c r="AB171" i="1" l="1"/>
  <c r="AC170" i="1"/>
  <c r="AF171" i="1"/>
  <c r="AG170" i="1"/>
  <c r="AE170" i="1"/>
  <c r="AD171" i="1"/>
  <c r="Q169" i="1"/>
  <c r="P170" i="1"/>
  <c r="S169" i="1"/>
  <c r="R170" i="1"/>
  <c r="T170" i="1"/>
  <c r="U169" i="1"/>
  <c r="X170" i="1"/>
  <c r="Y169" i="1"/>
  <c r="V170" i="1"/>
  <c r="W169" i="1"/>
  <c r="Z170" i="1"/>
  <c r="AA169" i="1"/>
  <c r="AI169" i="1"/>
  <c r="AJ168" i="1"/>
  <c r="AN168" i="1"/>
  <c r="AM169" i="1"/>
  <c r="AL168" i="1"/>
  <c r="AK169" i="1"/>
  <c r="AC66" i="1"/>
  <c r="AB67" i="1"/>
  <c r="AF67" i="1"/>
  <c r="AG66" i="1"/>
  <c r="AE66" i="1"/>
  <c r="AD67" i="1"/>
  <c r="S65" i="1"/>
  <c r="T66" i="1"/>
  <c r="U65" i="1"/>
  <c r="X66" i="1"/>
  <c r="Y65" i="1"/>
  <c r="W65" i="1"/>
  <c r="V66" i="1"/>
  <c r="Z66" i="1"/>
  <c r="AA65" i="1"/>
  <c r="AI65" i="1"/>
  <c r="AJ64" i="1"/>
  <c r="AN63" i="1"/>
  <c r="AM64" i="1"/>
  <c r="AL63" i="1"/>
  <c r="AK64" i="1"/>
  <c r="Q64" i="1"/>
  <c r="P65" i="1"/>
  <c r="R66" i="1" s="1"/>
  <c r="AB172" i="1" l="1"/>
  <c r="AC171" i="1"/>
  <c r="AF172" i="1"/>
  <c r="AG171" i="1"/>
  <c r="AE171" i="1"/>
  <c r="AD172" i="1"/>
  <c r="Q170" i="1"/>
  <c r="P171" i="1"/>
  <c r="S170" i="1"/>
  <c r="R171" i="1"/>
  <c r="T171" i="1"/>
  <c r="U170" i="1"/>
  <c r="X171" i="1"/>
  <c r="Y170" i="1"/>
  <c r="V171" i="1"/>
  <c r="W170" i="1"/>
  <c r="Z171" i="1"/>
  <c r="AA170" i="1"/>
  <c r="AI170" i="1"/>
  <c r="AJ169" i="1"/>
  <c r="AN169" i="1"/>
  <c r="AM170" i="1"/>
  <c r="AL169" i="1"/>
  <c r="AK170" i="1"/>
  <c r="AB68" i="1"/>
  <c r="AC67" i="1"/>
  <c r="AG67" i="1"/>
  <c r="AF68" i="1"/>
  <c r="AD68" i="1"/>
  <c r="AE67" i="1"/>
  <c r="S66" i="1"/>
  <c r="T67" i="1"/>
  <c r="U66" i="1"/>
  <c r="X67" i="1"/>
  <c r="Y66" i="1"/>
  <c r="W66" i="1"/>
  <c r="V67" i="1"/>
  <c r="Z67" i="1"/>
  <c r="AA66" i="1"/>
  <c r="AJ65" i="1"/>
  <c r="AI66" i="1"/>
  <c r="AN64" i="1"/>
  <c r="AM65" i="1"/>
  <c r="AL64" i="1"/>
  <c r="AK65" i="1"/>
  <c r="Q65" i="1"/>
  <c r="P66" i="1"/>
  <c r="R67" i="1" s="1"/>
  <c r="AB173" i="1" l="1"/>
  <c r="AC172" i="1"/>
  <c r="AF173" i="1"/>
  <c r="AG172" i="1"/>
  <c r="AE172" i="1"/>
  <c r="AD173" i="1"/>
  <c r="Q171" i="1"/>
  <c r="P172" i="1"/>
  <c r="S171" i="1"/>
  <c r="R172" i="1"/>
  <c r="T172" i="1"/>
  <c r="U171" i="1"/>
  <c r="X172" i="1"/>
  <c r="Y171" i="1"/>
  <c r="W171" i="1"/>
  <c r="V172" i="1"/>
  <c r="Z172" i="1"/>
  <c r="AA171" i="1"/>
  <c r="AI171" i="1"/>
  <c r="AJ170" i="1"/>
  <c r="AN170" i="1"/>
  <c r="AM171" i="1"/>
  <c r="AL170" i="1"/>
  <c r="AK171" i="1"/>
  <c r="AC68" i="1"/>
  <c r="AB69" i="1"/>
  <c r="AF69" i="1"/>
  <c r="AG68" i="1"/>
  <c r="AD69" i="1"/>
  <c r="AE68" i="1"/>
  <c r="S67" i="1"/>
  <c r="T68" i="1"/>
  <c r="U67" i="1"/>
  <c r="X68" i="1"/>
  <c r="Y67" i="1"/>
  <c r="W67" i="1"/>
  <c r="V68" i="1"/>
  <c r="Z68" i="1"/>
  <c r="AA67" i="1"/>
  <c r="AJ66" i="1"/>
  <c r="AI67" i="1"/>
  <c r="AM66" i="1"/>
  <c r="AN65" i="1"/>
  <c r="AK66" i="1"/>
  <c r="AL65" i="1"/>
  <c r="Q66" i="1"/>
  <c r="P67" i="1"/>
  <c r="R68" i="1" s="1"/>
  <c r="AB174" i="1" l="1"/>
  <c r="AC173" i="1"/>
  <c r="AF174" i="1"/>
  <c r="AG173" i="1"/>
  <c r="AE173" i="1"/>
  <c r="AD174" i="1"/>
  <c r="Q172" i="1"/>
  <c r="P173" i="1"/>
  <c r="S172" i="1"/>
  <c r="R173" i="1"/>
  <c r="T173" i="1"/>
  <c r="U172" i="1"/>
  <c r="X173" i="1"/>
  <c r="Y172" i="1"/>
  <c r="V173" i="1"/>
  <c r="W172" i="1"/>
  <c r="Z173" i="1"/>
  <c r="AA172" i="1"/>
  <c r="AI172" i="1"/>
  <c r="AJ171" i="1"/>
  <c r="AN171" i="1"/>
  <c r="AM172" i="1"/>
  <c r="AL171" i="1"/>
  <c r="AK172" i="1"/>
  <c r="AB70" i="1"/>
  <c r="AC69" i="1"/>
  <c r="AF70" i="1"/>
  <c r="AG69" i="1"/>
  <c r="AE69" i="1"/>
  <c r="AD70" i="1"/>
  <c r="S68" i="1"/>
  <c r="T69" i="1"/>
  <c r="U68" i="1"/>
  <c r="X69" i="1"/>
  <c r="Y68" i="1"/>
  <c r="W68" i="1"/>
  <c r="V69" i="1"/>
  <c r="Z69" i="1"/>
  <c r="AA68" i="1"/>
  <c r="AI68" i="1"/>
  <c r="AJ67" i="1"/>
  <c r="AM67" i="1"/>
  <c r="AN66" i="1"/>
  <c r="AL66" i="1"/>
  <c r="AK67" i="1"/>
  <c r="Q67" i="1"/>
  <c r="P68" i="1"/>
  <c r="R69" i="1" s="1"/>
  <c r="AB175" i="1" l="1"/>
  <c r="AC174" i="1"/>
  <c r="AF175" i="1"/>
  <c r="AG174" i="1"/>
  <c r="AE174" i="1"/>
  <c r="AD175" i="1"/>
  <c r="Q173" i="1"/>
  <c r="P174" i="1"/>
  <c r="S173" i="1"/>
  <c r="R174" i="1"/>
  <c r="T174" i="1"/>
  <c r="U173" i="1"/>
  <c r="X174" i="1"/>
  <c r="Y173" i="1"/>
  <c r="V174" i="1"/>
  <c r="W173" i="1"/>
  <c r="Z174" i="1"/>
  <c r="AA173" i="1"/>
  <c r="AI173" i="1"/>
  <c r="AJ172" i="1"/>
  <c r="AN172" i="1"/>
  <c r="AM173" i="1"/>
  <c r="AL172" i="1"/>
  <c r="AK173" i="1"/>
  <c r="AC70" i="1"/>
  <c r="AB71" i="1"/>
  <c r="AG70" i="1"/>
  <c r="AF71" i="1"/>
  <c r="AD71" i="1"/>
  <c r="AE70" i="1"/>
  <c r="S69" i="1"/>
  <c r="T70" i="1"/>
  <c r="U69" i="1"/>
  <c r="X70" i="1"/>
  <c r="Y69" i="1"/>
  <c r="W69" i="1"/>
  <c r="V70" i="1"/>
  <c r="Z70" i="1"/>
  <c r="AA69" i="1"/>
  <c r="AJ68" i="1"/>
  <c r="AI69" i="1"/>
  <c r="AN67" i="1"/>
  <c r="AM68" i="1"/>
  <c r="AK68" i="1"/>
  <c r="AL67" i="1"/>
  <c r="Q68" i="1"/>
  <c r="P69" i="1"/>
  <c r="R70" i="1" s="1"/>
  <c r="AB176" i="1" l="1"/>
  <c r="AC175" i="1"/>
  <c r="AF176" i="1"/>
  <c r="AG175" i="1"/>
  <c r="AE175" i="1"/>
  <c r="AD176" i="1"/>
  <c r="Q174" i="1"/>
  <c r="P175" i="1"/>
  <c r="R175" i="1"/>
  <c r="S174" i="1"/>
  <c r="T175" i="1"/>
  <c r="U174" i="1"/>
  <c r="X175" i="1"/>
  <c r="Y174" i="1"/>
  <c r="V175" i="1"/>
  <c r="W174" i="1"/>
  <c r="AA174" i="1"/>
  <c r="Z175" i="1"/>
  <c r="AI174" i="1"/>
  <c r="AJ173" i="1"/>
  <c r="AN173" i="1"/>
  <c r="AM174" i="1"/>
  <c r="AL173" i="1"/>
  <c r="AK174" i="1"/>
  <c r="AB72" i="1"/>
  <c r="AC71" i="1"/>
  <c r="AG71" i="1"/>
  <c r="AF72" i="1"/>
  <c r="AD72" i="1"/>
  <c r="AE71" i="1"/>
  <c r="S70" i="1"/>
  <c r="T71" i="1"/>
  <c r="U70" i="1"/>
  <c r="X71" i="1"/>
  <c r="Y70" i="1"/>
  <c r="W70" i="1"/>
  <c r="V71" i="1"/>
  <c r="Z71" i="1"/>
  <c r="AA70" i="1"/>
  <c r="AJ69" i="1"/>
  <c r="AI70" i="1"/>
  <c r="AM69" i="1"/>
  <c r="AN68" i="1"/>
  <c r="AL68" i="1"/>
  <c r="AK69" i="1"/>
  <c r="Q69" i="1"/>
  <c r="P70" i="1"/>
  <c r="R71" i="1" s="1"/>
  <c r="AB177" i="1" l="1"/>
  <c r="AC176" i="1"/>
  <c r="AF177" i="1"/>
  <c r="AG176" i="1"/>
  <c r="AE176" i="1"/>
  <c r="AD177" i="1"/>
  <c r="Q175" i="1"/>
  <c r="P176" i="1"/>
  <c r="S175" i="1"/>
  <c r="R176" i="1"/>
  <c r="T176" i="1"/>
  <c r="U175" i="1"/>
  <c r="X176" i="1"/>
  <c r="Y175" i="1"/>
  <c r="V176" i="1"/>
  <c r="W175" i="1"/>
  <c r="Z176" i="1"/>
  <c r="AA175" i="1"/>
  <c r="AI175" i="1"/>
  <c r="AJ174" i="1"/>
  <c r="AN174" i="1"/>
  <c r="AM175" i="1"/>
  <c r="AL174" i="1"/>
  <c r="AK175" i="1"/>
  <c r="AC72" i="1"/>
  <c r="AB73" i="1"/>
  <c r="AG72" i="1"/>
  <c r="AF73" i="1"/>
  <c r="AD73" i="1"/>
  <c r="AE72" i="1"/>
  <c r="S71" i="1"/>
  <c r="T72" i="1"/>
  <c r="U71" i="1"/>
  <c r="X72" i="1"/>
  <c r="Y71" i="1"/>
  <c r="W71" i="1"/>
  <c r="V72" i="1"/>
  <c r="Z72" i="1"/>
  <c r="AA71" i="1"/>
  <c r="AI71" i="1"/>
  <c r="AJ70" i="1"/>
  <c r="AN69" i="1"/>
  <c r="AM70" i="1"/>
  <c r="AK70" i="1"/>
  <c r="AL69" i="1"/>
  <c r="Q70" i="1"/>
  <c r="P71" i="1"/>
  <c r="R72" i="1" s="1"/>
  <c r="AB178" i="1" l="1"/>
  <c r="AC177" i="1"/>
  <c r="AF178" i="1"/>
  <c r="AG177" i="1"/>
  <c r="AE177" i="1"/>
  <c r="AD178" i="1"/>
  <c r="Q176" i="1"/>
  <c r="P177" i="1"/>
  <c r="S176" i="1"/>
  <c r="R177" i="1"/>
  <c r="T177" i="1"/>
  <c r="U176" i="1"/>
  <c r="X177" i="1"/>
  <c r="Y176" i="1"/>
  <c r="W176" i="1"/>
  <c r="V177" i="1"/>
  <c r="AA176" i="1"/>
  <c r="Z177" i="1"/>
  <c r="AI176" i="1"/>
  <c r="AJ175" i="1"/>
  <c r="AN175" i="1"/>
  <c r="AM176" i="1"/>
  <c r="AL175" i="1"/>
  <c r="AK176" i="1"/>
  <c r="AB74" i="1"/>
  <c r="AC73" i="1"/>
  <c r="AG73" i="1"/>
  <c r="AF74" i="1"/>
  <c r="AD74" i="1"/>
  <c r="AE73" i="1"/>
  <c r="S72" i="1"/>
  <c r="T73" i="1"/>
  <c r="U72" i="1"/>
  <c r="X73" i="1"/>
  <c r="Y72" i="1"/>
  <c r="W72" i="1"/>
  <c r="V73" i="1"/>
  <c r="Z73" i="1"/>
  <c r="AA72" i="1"/>
  <c r="AJ71" i="1"/>
  <c r="AI72" i="1"/>
  <c r="AM71" i="1"/>
  <c r="AN70" i="1"/>
  <c r="AL70" i="1"/>
  <c r="AK71" i="1"/>
  <c r="Q71" i="1"/>
  <c r="P72" i="1"/>
  <c r="R73" i="1" s="1"/>
  <c r="AB179" i="1" l="1"/>
  <c r="AC178" i="1"/>
  <c r="AF179" i="1"/>
  <c r="AG178" i="1"/>
  <c r="AE178" i="1"/>
  <c r="AD179" i="1"/>
  <c r="Q177" i="1"/>
  <c r="P178" i="1"/>
  <c r="R178" i="1"/>
  <c r="S177" i="1"/>
  <c r="U177" i="1"/>
  <c r="T178" i="1"/>
  <c r="X178" i="1"/>
  <c r="Y177" i="1"/>
  <c r="V178" i="1"/>
  <c r="W177" i="1"/>
  <c r="Z178" i="1"/>
  <c r="AA177" i="1"/>
  <c r="AI177" i="1"/>
  <c r="AJ176" i="1"/>
  <c r="AN176" i="1"/>
  <c r="AM177" i="1"/>
  <c r="AL176" i="1"/>
  <c r="AK177" i="1"/>
  <c r="AB75" i="1"/>
  <c r="AC74" i="1"/>
  <c r="AF75" i="1"/>
  <c r="AG74" i="1"/>
  <c r="AE74" i="1"/>
  <c r="AD75" i="1"/>
  <c r="S73" i="1"/>
  <c r="T74" i="1"/>
  <c r="U73" i="1"/>
  <c r="X74" i="1"/>
  <c r="Y73" i="1"/>
  <c r="W73" i="1"/>
  <c r="V74" i="1"/>
  <c r="Z74" i="1"/>
  <c r="AA73" i="1"/>
  <c r="AI73" i="1"/>
  <c r="AJ72" i="1"/>
  <c r="AN71" i="1"/>
  <c r="AM72" i="1"/>
  <c r="AK72" i="1"/>
  <c r="AL71" i="1"/>
  <c r="Q72" i="1"/>
  <c r="P73" i="1"/>
  <c r="R74" i="1" s="1"/>
  <c r="AB180" i="1" l="1"/>
  <c r="AC179" i="1"/>
  <c r="AF180" i="1"/>
  <c r="AG179" i="1"/>
  <c r="AE179" i="1"/>
  <c r="AD180" i="1"/>
  <c r="Q178" i="1"/>
  <c r="P179" i="1"/>
  <c r="R179" i="1"/>
  <c r="S178" i="1"/>
  <c r="T179" i="1"/>
  <c r="U178" i="1"/>
  <c r="X179" i="1"/>
  <c r="Y178" i="1"/>
  <c r="V179" i="1"/>
  <c r="W178" i="1"/>
  <c r="Z179" i="1"/>
  <c r="AA178" i="1"/>
  <c r="AI178" i="1"/>
  <c r="AJ177" i="1"/>
  <c r="AN177" i="1"/>
  <c r="AM178" i="1"/>
  <c r="AL177" i="1"/>
  <c r="AK178" i="1"/>
  <c r="AC75" i="1"/>
  <c r="AB76" i="1"/>
  <c r="AF76" i="1"/>
  <c r="AG75" i="1"/>
  <c r="AE75" i="1"/>
  <c r="AD76" i="1"/>
  <c r="S74" i="1"/>
  <c r="T75" i="1"/>
  <c r="U74" i="1"/>
  <c r="X75" i="1"/>
  <c r="Y74" i="1"/>
  <c r="W74" i="1"/>
  <c r="V75" i="1"/>
  <c r="Z75" i="1"/>
  <c r="AA74" i="1"/>
  <c r="AI74" i="1"/>
  <c r="AJ73" i="1"/>
  <c r="AN72" i="1"/>
  <c r="AM73" i="1"/>
  <c r="AK73" i="1"/>
  <c r="AL72" i="1"/>
  <c r="Q73" i="1"/>
  <c r="P74" i="1"/>
  <c r="R75" i="1" s="1"/>
  <c r="AB181" i="1" l="1"/>
  <c r="AC180" i="1"/>
  <c r="AF181" i="1"/>
  <c r="AG180" i="1"/>
  <c r="AE180" i="1"/>
  <c r="AD181" i="1"/>
  <c r="Q179" i="1"/>
  <c r="P180" i="1"/>
  <c r="R180" i="1"/>
  <c r="S179" i="1"/>
  <c r="T180" i="1"/>
  <c r="U179" i="1"/>
  <c r="X180" i="1"/>
  <c r="Y179" i="1"/>
  <c r="V180" i="1"/>
  <c r="W179" i="1"/>
  <c r="AA179" i="1"/>
  <c r="Z180" i="1"/>
  <c r="AI179" i="1"/>
  <c r="AJ178" i="1"/>
  <c r="AN178" i="1"/>
  <c r="AM179" i="1"/>
  <c r="AK179" i="1"/>
  <c r="AL178" i="1"/>
  <c r="AB77" i="1"/>
  <c r="AC76" i="1"/>
  <c r="AF77" i="1"/>
  <c r="AG76" i="1"/>
  <c r="AD77" i="1"/>
  <c r="AE76" i="1"/>
  <c r="S75" i="1"/>
  <c r="T76" i="1"/>
  <c r="U75" i="1"/>
  <c r="X76" i="1"/>
  <c r="Y75" i="1"/>
  <c r="W75" i="1"/>
  <c r="V76" i="1"/>
  <c r="Z76" i="1"/>
  <c r="AA75" i="1"/>
  <c r="AI75" i="1"/>
  <c r="AJ74" i="1"/>
  <c r="AN73" i="1"/>
  <c r="AM74" i="1"/>
  <c r="AK74" i="1"/>
  <c r="AL73" i="1"/>
  <c r="Q74" i="1"/>
  <c r="P75" i="1"/>
  <c r="R76" i="1" s="1"/>
  <c r="AB182" i="1" l="1"/>
  <c r="AC181" i="1"/>
  <c r="AF182" i="1"/>
  <c r="AG181" i="1"/>
  <c r="AE181" i="1"/>
  <c r="AD182" i="1"/>
  <c r="Q180" i="1"/>
  <c r="P181" i="1"/>
  <c r="R181" i="1"/>
  <c r="S180" i="1"/>
  <c r="T181" i="1"/>
  <c r="U180" i="1"/>
  <c r="X181" i="1"/>
  <c r="Y180" i="1"/>
  <c r="V181" i="1"/>
  <c r="W180" i="1"/>
  <c r="AA180" i="1"/>
  <c r="Z181" i="1"/>
  <c r="AI180" i="1"/>
  <c r="AJ179" i="1"/>
  <c r="AN179" i="1"/>
  <c r="AM180" i="1"/>
  <c r="AL179" i="1"/>
  <c r="AK180" i="1"/>
  <c r="AB78" i="1"/>
  <c r="AC77" i="1"/>
  <c r="AG77" i="1"/>
  <c r="AF78" i="1"/>
  <c r="AD78" i="1"/>
  <c r="AE77" i="1"/>
  <c r="S76" i="1"/>
  <c r="T77" i="1"/>
  <c r="U76" i="1"/>
  <c r="X77" i="1"/>
  <c r="Y76" i="1"/>
  <c r="W76" i="1"/>
  <c r="V77" i="1"/>
  <c r="Z77" i="1"/>
  <c r="AA76" i="1"/>
  <c r="AJ75" i="1"/>
  <c r="AI76" i="1"/>
  <c r="AN74" i="1"/>
  <c r="AM75" i="1"/>
  <c r="AK75" i="1"/>
  <c r="AL74" i="1"/>
  <c r="Q75" i="1"/>
  <c r="P76" i="1"/>
  <c r="R77" i="1" s="1"/>
  <c r="AB183" i="1" l="1"/>
  <c r="AC182" i="1"/>
  <c r="AF183" i="1"/>
  <c r="AG182" i="1"/>
  <c r="AE182" i="1"/>
  <c r="AD183" i="1"/>
  <c r="Q181" i="1"/>
  <c r="P182" i="1"/>
  <c r="S181" i="1"/>
  <c r="R182" i="1"/>
  <c r="T182" i="1"/>
  <c r="U181" i="1"/>
  <c r="X182" i="1"/>
  <c r="Y181" i="1"/>
  <c r="V182" i="1"/>
  <c r="W181" i="1"/>
  <c r="Z182" i="1"/>
  <c r="AA181" i="1"/>
  <c r="AI181" i="1"/>
  <c r="AJ180" i="1"/>
  <c r="AN180" i="1"/>
  <c r="AM181" i="1"/>
  <c r="AL180" i="1"/>
  <c r="AK181" i="1"/>
  <c r="AB79" i="1"/>
  <c r="AC78" i="1"/>
  <c r="AF79" i="1"/>
  <c r="AG78" i="1"/>
  <c r="AD79" i="1"/>
  <c r="AE78" i="1"/>
  <c r="S77" i="1"/>
  <c r="T78" i="1"/>
  <c r="U77" i="1"/>
  <c r="X78" i="1"/>
  <c r="Y77" i="1"/>
  <c r="W77" i="1"/>
  <c r="V78" i="1"/>
  <c r="Z78" i="1"/>
  <c r="AA77" i="1"/>
  <c r="AI77" i="1"/>
  <c r="AJ76" i="1"/>
  <c r="AN75" i="1"/>
  <c r="AM76" i="1"/>
  <c r="AK76" i="1"/>
  <c r="AL75" i="1"/>
  <c r="Q76" i="1"/>
  <c r="P77" i="1"/>
  <c r="R78" i="1" s="1"/>
  <c r="AB184" i="1" l="1"/>
  <c r="AC183" i="1"/>
  <c r="AG183" i="1"/>
  <c r="AF184" i="1"/>
  <c r="AD184" i="1"/>
  <c r="AE183" i="1"/>
  <c r="P183" i="1"/>
  <c r="Q182" i="1"/>
  <c r="R183" i="1"/>
  <c r="S182" i="1"/>
  <c r="T183" i="1"/>
  <c r="U182" i="1"/>
  <c r="X183" i="1"/>
  <c r="Y182" i="1"/>
  <c r="V183" i="1"/>
  <c r="W182" i="1"/>
  <c r="Z183" i="1"/>
  <c r="AA182" i="1"/>
  <c r="AI182" i="1"/>
  <c r="AJ181" i="1"/>
  <c r="AN181" i="1"/>
  <c r="AM182" i="1"/>
  <c r="AL181" i="1"/>
  <c r="AK182" i="1"/>
  <c r="AC79" i="1"/>
  <c r="AB80" i="1"/>
  <c r="AF80" i="1"/>
  <c r="AG79" i="1"/>
  <c r="AE79" i="1"/>
  <c r="AD80" i="1"/>
  <c r="S78" i="1"/>
  <c r="T79" i="1"/>
  <c r="U78" i="1"/>
  <c r="X79" i="1"/>
  <c r="Y78" i="1"/>
  <c r="W78" i="1"/>
  <c r="V79" i="1"/>
  <c r="Z79" i="1"/>
  <c r="AA78" i="1"/>
  <c r="AJ77" i="1"/>
  <c r="AI78" i="1"/>
  <c r="AN76" i="1"/>
  <c r="AM77" i="1"/>
  <c r="AK77" i="1"/>
  <c r="AL76" i="1"/>
  <c r="Q77" i="1"/>
  <c r="P78" i="1"/>
  <c r="R79" i="1" s="1"/>
  <c r="AB185" i="1" l="1"/>
  <c r="AC184" i="1"/>
  <c r="AF185" i="1"/>
  <c r="AG184" i="1"/>
  <c r="AD185" i="1"/>
  <c r="AE184" i="1"/>
  <c r="Q183" i="1"/>
  <c r="P184" i="1"/>
  <c r="R184" i="1"/>
  <c r="S183" i="1"/>
  <c r="T184" i="1"/>
  <c r="U183" i="1"/>
  <c r="X184" i="1"/>
  <c r="Y183" i="1"/>
  <c r="V184" i="1"/>
  <c r="W183" i="1"/>
  <c r="AA183" i="1"/>
  <c r="Z184" i="1"/>
  <c r="AI183" i="1"/>
  <c r="AJ182" i="1"/>
  <c r="AM183" i="1"/>
  <c r="AN182" i="1"/>
  <c r="AK183" i="1"/>
  <c r="AL182" i="1"/>
  <c r="AC80" i="1"/>
  <c r="AB81" i="1"/>
  <c r="AF81" i="1"/>
  <c r="AG80" i="1"/>
  <c r="AE80" i="1"/>
  <c r="AD81" i="1"/>
  <c r="S79" i="1"/>
  <c r="T80" i="1"/>
  <c r="U79" i="1"/>
  <c r="X80" i="1"/>
  <c r="Y79" i="1"/>
  <c r="W79" i="1"/>
  <c r="V80" i="1"/>
  <c r="Z80" i="1"/>
  <c r="AA79" i="1"/>
  <c r="AJ78" i="1"/>
  <c r="AI79" i="1"/>
  <c r="AN77" i="1"/>
  <c r="AM78" i="1"/>
  <c r="AL77" i="1"/>
  <c r="AK78" i="1"/>
  <c r="Q78" i="1"/>
  <c r="P79" i="1"/>
  <c r="R80" i="1" s="1"/>
  <c r="AB186" i="1" l="1"/>
  <c r="AC185" i="1"/>
  <c r="AF186" i="1"/>
  <c r="AG185" i="1"/>
  <c r="AD186" i="1"/>
  <c r="AE185" i="1"/>
  <c r="Q184" i="1"/>
  <c r="P185" i="1"/>
  <c r="R185" i="1"/>
  <c r="S184" i="1"/>
  <c r="U184" i="1"/>
  <c r="T185" i="1"/>
  <c r="X185" i="1"/>
  <c r="Y184" i="1"/>
  <c r="V185" i="1"/>
  <c r="W184" i="1"/>
  <c r="Z185" i="1"/>
  <c r="AA184" i="1"/>
  <c r="AJ183" i="1"/>
  <c r="AI184" i="1"/>
  <c r="AN183" i="1"/>
  <c r="AM184" i="1"/>
  <c r="AK184" i="1"/>
  <c r="AL183" i="1"/>
  <c r="AC81" i="1"/>
  <c r="AB82" i="1"/>
  <c r="AG81" i="1"/>
  <c r="AF82" i="1"/>
  <c r="AD82" i="1"/>
  <c r="AE81" i="1"/>
  <c r="S80" i="1"/>
  <c r="T81" i="1"/>
  <c r="U80" i="1"/>
  <c r="X81" i="1"/>
  <c r="Y80" i="1"/>
  <c r="W80" i="1"/>
  <c r="V81" i="1"/>
  <c r="Z81" i="1"/>
  <c r="AA80" i="1"/>
  <c r="AJ79" i="1"/>
  <c r="AI80" i="1"/>
  <c r="AM79" i="1"/>
  <c r="AN78" i="1"/>
  <c r="AL78" i="1"/>
  <c r="AK79" i="1"/>
  <c r="Q79" i="1"/>
  <c r="P80" i="1"/>
  <c r="R81" i="1" s="1"/>
  <c r="AB187" i="1" l="1"/>
  <c r="AC186" i="1"/>
  <c r="AF187" i="1"/>
  <c r="AG186" i="1"/>
  <c r="AD187" i="1"/>
  <c r="AE186" i="1"/>
  <c r="P186" i="1"/>
  <c r="Q185" i="1"/>
  <c r="S185" i="1"/>
  <c r="R186" i="1"/>
  <c r="T186" i="1"/>
  <c r="U185" i="1"/>
  <c r="X186" i="1"/>
  <c r="Y185" i="1"/>
  <c r="W185" i="1"/>
  <c r="V186" i="1"/>
  <c r="Z186" i="1"/>
  <c r="AA185" i="1"/>
  <c r="AI185" i="1"/>
  <c r="AJ184" i="1"/>
  <c r="AM185" i="1"/>
  <c r="AN184" i="1"/>
  <c r="AK185" i="1"/>
  <c r="AL184" i="1"/>
  <c r="AB83" i="1"/>
  <c r="AC82" i="1"/>
  <c r="AF83" i="1"/>
  <c r="AG82" i="1"/>
  <c r="AE82" i="1"/>
  <c r="AD83" i="1"/>
  <c r="S81" i="1"/>
  <c r="T82" i="1"/>
  <c r="U81" i="1"/>
  <c r="X82" i="1"/>
  <c r="Y81" i="1"/>
  <c r="W81" i="1"/>
  <c r="V82" i="1"/>
  <c r="Z82" i="1"/>
  <c r="AA81" i="1"/>
  <c r="AJ80" i="1"/>
  <c r="AI81" i="1"/>
  <c r="AM80" i="1"/>
  <c r="AN79" i="1"/>
  <c r="AK80" i="1"/>
  <c r="AL79" i="1"/>
  <c r="Q80" i="1"/>
  <c r="P81" i="1"/>
  <c r="R82" i="1" s="1"/>
  <c r="AB188" i="1" l="1"/>
  <c r="AC187" i="1"/>
  <c r="AF188" i="1"/>
  <c r="AG187" i="1"/>
  <c r="AD188" i="1"/>
  <c r="AE187" i="1"/>
  <c r="Q186" i="1"/>
  <c r="P187" i="1"/>
  <c r="R187" i="1"/>
  <c r="S186" i="1"/>
  <c r="T187" i="1"/>
  <c r="U186" i="1"/>
  <c r="X187" i="1"/>
  <c r="Y186" i="1"/>
  <c r="V187" i="1"/>
  <c r="W186" i="1"/>
  <c r="Z187" i="1"/>
  <c r="AA186" i="1"/>
  <c r="AI186" i="1"/>
  <c r="AJ185" i="1"/>
  <c r="AM186" i="1"/>
  <c r="AN185" i="1"/>
  <c r="AK186" i="1"/>
  <c r="AL185" i="1"/>
  <c r="AC83" i="1"/>
  <c r="AB84" i="1"/>
  <c r="AF84" i="1"/>
  <c r="AG83" i="1"/>
  <c r="AD84" i="1"/>
  <c r="AE83" i="1"/>
  <c r="S82" i="1"/>
  <c r="T83" i="1"/>
  <c r="U82" i="1"/>
  <c r="X83" i="1"/>
  <c r="Y82" i="1"/>
  <c r="W82" i="1"/>
  <c r="V83" i="1"/>
  <c r="Z83" i="1"/>
  <c r="AA82" i="1"/>
  <c r="AJ81" i="1"/>
  <c r="AI82" i="1"/>
  <c r="AN80" i="1"/>
  <c r="AM81" i="1"/>
  <c r="AL80" i="1"/>
  <c r="AK81" i="1"/>
  <c r="Q81" i="1"/>
  <c r="P82" i="1"/>
  <c r="R83" i="1" s="1"/>
  <c r="AC188" i="1" l="1"/>
  <c r="AB189" i="1"/>
  <c r="AF189" i="1"/>
  <c r="AG188" i="1"/>
  <c r="AD189" i="1"/>
  <c r="AE188" i="1"/>
  <c r="Q187" i="1"/>
  <c r="P188" i="1"/>
  <c r="R188" i="1"/>
  <c r="S187" i="1"/>
  <c r="T188" i="1"/>
  <c r="U187" i="1"/>
  <c r="X188" i="1"/>
  <c r="Y187" i="1"/>
  <c r="V188" i="1"/>
  <c r="W187" i="1"/>
  <c r="Z188" i="1"/>
  <c r="AA187" i="1"/>
  <c r="AI187" i="1"/>
  <c r="AJ186" i="1"/>
  <c r="AN186" i="1"/>
  <c r="AM187" i="1"/>
  <c r="AK187" i="1"/>
  <c r="AL186" i="1"/>
  <c r="AC84" i="1"/>
  <c r="AB85" i="1"/>
  <c r="AF85" i="1"/>
  <c r="AG84" i="1"/>
  <c r="AE84" i="1"/>
  <c r="AD85" i="1"/>
  <c r="S83" i="1"/>
  <c r="T84" i="1"/>
  <c r="U83" i="1"/>
  <c r="X84" i="1"/>
  <c r="Y83" i="1"/>
  <c r="W83" i="1"/>
  <c r="V84" i="1"/>
  <c r="Z84" i="1"/>
  <c r="AA83" i="1"/>
  <c r="AJ82" i="1"/>
  <c r="AI83" i="1"/>
  <c r="AM82" i="1"/>
  <c r="AN81" i="1"/>
  <c r="AL81" i="1"/>
  <c r="AK82" i="1"/>
  <c r="Q82" i="1"/>
  <c r="P83" i="1"/>
  <c r="R84" i="1" s="1"/>
  <c r="AC189" i="1" l="1"/>
  <c r="AB190" i="1"/>
  <c r="AF190" i="1"/>
  <c r="AG189" i="1"/>
  <c r="AD190" i="1"/>
  <c r="AE189" i="1"/>
  <c r="Q188" i="1"/>
  <c r="P189" i="1"/>
  <c r="R189" i="1"/>
  <c r="S188" i="1"/>
  <c r="T189" i="1"/>
  <c r="U188" i="1"/>
  <c r="Y188" i="1"/>
  <c r="X189" i="1"/>
  <c r="V189" i="1"/>
  <c r="W188" i="1"/>
  <c r="AA188" i="1"/>
  <c r="Z189" i="1"/>
  <c r="AJ187" i="1"/>
  <c r="AI188" i="1"/>
  <c r="AM188" i="1"/>
  <c r="AN187" i="1"/>
  <c r="AK188" i="1"/>
  <c r="AL187" i="1"/>
  <c r="AC85" i="1"/>
  <c r="AB86" i="1"/>
  <c r="AG85" i="1"/>
  <c r="AF86" i="1"/>
  <c r="AD86" i="1"/>
  <c r="AE85" i="1"/>
  <c r="S84" i="1"/>
  <c r="T85" i="1"/>
  <c r="U84" i="1"/>
  <c r="X85" i="1"/>
  <c r="Y84" i="1"/>
  <c r="W84" i="1"/>
  <c r="V85" i="1"/>
  <c r="Z85" i="1"/>
  <c r="AA84" i="1"/>
  <c r="AI84" i="1"/>
  <c r="AJ83" i="1"/>
  <c r="AN82" i="1"/>
  <c r="AM83" i="1"/>
  <c r="AK83" i="1"/>
  <c r="AL82" i="1"/>
  <c r="Q83" i="1"/>
  <c r="P84" i="1"/>
  <c r="R85" i="1" s="1"/>
  <c r="AB191" i="1" l="1"/>
  <c r="AC190" i="1"/>
  <c r="AF191" i="1"/>
  <c r="AG190" i="1"/>
  <c r="AD191" i="1"/>
  <c r="AE190" i="1"/>
  <c r="Q189" i="1"/>
  <c r="P190" i="1"/>
  <c r="R190" i="1"/>
  <c r="S189" i="1"/>
  <c r="T190" i="1"/>
  <c r="U189" i="1"/>
  <c r="X190" i="1"/>
  <c r="Y189" i="1"/>
  <c r="V190" i="1"/>
  <c r="W189" i="1"/>
  <c r="Z190" i="1"/>
  <c r="AA189" i="1"/>
  <c r="AI189" i="1"/>
  <c r="AJ188" i="1"/>
  <c r="AM189" i="1"/>
  <c r="AN188" i="1"/>
  <c r="AK189" i="1"/>
  <c r="AL188" i="1"/>
  <c r="AB87" i="1"/>
  <c r="AC86" i="1"/>
  <c r="AF87" i="1"/>
  <c r="AG86" i="1"/>
  <c r="AE86" i="1"/>
  <c r="AD87" i="1"/>
  <c r="S85" i="1"/>
  <c r="T86" i="1"/>
  <c r="U85" i="1"/>
  <c r="X86" i="1"/>
  <c r="Y85" i="1"/>
  <c r="V86" i="1"/>
  <c r="W85" i="1"/>
  <c r="Z86" i="1"/>
  <c r="AA85" i="1"/>
  <c r="AJ84" i="1"/>
  <c r="AI85" i="1"/>
  <c r="AN83" i="1"/>
  <c r="AM84" i="1"/>
  <c r="AK84" i="1"/>
  <c r="AL83" i="1"/>
  <c r="Q84" i="1"/>
  <c r="P85" i="1"/>
  <c r="R86" i="1" s="1"/>
  <c r="AC191" i="1" l="1"/>
  <c r="AB192" i="1"/>
  <c r="AF192" i="1"/>
  <c r="AG191" i="1"/>
  <c r="AD192" i="1"/>
  <c r="AE191" i="1"/>
  <c r="Q190" i="1"/>
  <c r="P191" i="1"/>
  <c r="S190" i="1"/>
  <c r="R191" i="1"/>
  <c r="T191" i="1"/>
  <c r="U190" i="1"/>
  <c r="X191" i="1"/>
  <c r="Y190" i="1"/>
  <c r="V191" i="1"/>
  <c r="W190" i="1"/>
  <c r="Z191" i="1"/>
  <c r="AA190" i="1"/>
  <c r="AI190" i="1"/>
  <c r="AJ189" i="1"/>
  <c r="AM190" i="1"/>
  <c r="AN189" i="1"/>
  <c r="AK190" i="1"/>
  <c r="AL189" i="1"/>
  <c r="AB88" i="1"/>
  <c r="AC87" i="1"/>
  <c r="AG87" i="1"/>
  <c r="AF88" i="1"/>
  <c r="AD88" i="1"/>
  <c r="AE87" i="1"/>
  <c r="S86" i="1"/>
  <c r="T87" i="1"/>
  <c r="U86" i="1"/>
  <c r="X87" i="1"/>
  <c r="Y86" i="1"/>
  <c r="V87" i="1"/>
  <c r="W86" i="1"/>
  <c r="Z87" i="1"/>
  <c r="AA86" i="1"/>
  <c r="AI86" i="1"/>
  <c r="AJ85" i="1"/>
  <c r="AM85" i="1"/>
  <c r="AN84" i="1"/>
  <c r="AL84" i="1"/>
  <c r="AK85" i="1"/>
  <c r="Q85" i="1"/>
  <c r="P86" i="1"/>
  <c r="R87" i="1" s="1"/>
  <c r="AB193" i="1" l="1"/>
  <c r="AC192" i="1"/>
  <c r="AF193" i="1"/>
  <c r="AG192" i="1"/>
  <c r="AD193" i="1"/>
  <c r="AE192" i="1"/>
  <c r="Q191" i="1"/>
  <c r="P192" i="1"/>
  <c r="S191" i="1"/>
  <c r="R192" i="1"/>
  <c r="U191" i="1"/>
  <c r="T192" i="1"/>
  <c r="Y191" i="1"/>
  <c r="X192" i="1"/>
  <c r="V192" i="1"/>
  <c r="W191" i="1"/>
  <c r="AA191" i="1"/>
  <c r="Z192" i="1"/>
  <c r="AJ190" i="1"/>
  <c r="AI191" i="1"/>
  <c r="AM191" i="1"/>
  <c r="AN190" i="1"/>
  <c r="AL190" i="1"/>
  <c r="AK191" i="1"/>
  <c r="AB89" i="1"/>
  <c r="AC88" i="1"/>
  <c r="AG88" i="1"/>
  <c r="AF89" i="1"/>
  <c r="AD89" i="1"/>
  <c r="AE88" i="1"/>
  <c r="S87" i="1"/>
  <c r="T88" i="1"/>
  <c r="U87" i="1"/>
  <c r="X88" i="1"/>
  <c r="Y87" i="1"/>
  <c r="V88" i="1"/>
  <c r="W87" i="1"/>
  <c r="Z88" i="1"/>
  <c r="AA87" i="1"/>
  <c r="AI87" i="1"/>
  <c r="AJ86" i="1"/>
  <c r="AN85" i="1"/>
  <c r="AM86" i="1"/>
  <c r="AL85" i="1"/>
  <c r="AK86" i="1"/>
  <c r="Q86" i="1"/>
  <c r="P87" i="1"/>
  <c r="R88" i="1" s="1"/>
  <c r="AB194" i="1" l="1"/>
  <c r="AC193" i="1"/>
  <c r="AF194" i="1"/>
  <c r="AG193" i="1"/>
  <c r="AD194" i="1"/>
  <c r="AE193" i="1"/>
  <c r="Q192" i="1"/>
  <c r="P193" i="1"/>
  <c r="S192" i="1"/>
  <c r="R193" i="1"/>
  <c r="T193" i="1"/>
  <c r="U192" i="1"/>
  <c r="X193" i="1"/>
  <c r="Y192" i="1"/>
  <c r="V193" i="1"/>
  <c r="W192" i="1"/>
  <c r="AA192" i="1"/>
  <c r="Z193" i="1"/>
  <c r="AI192" i="1"/>
  <c r="AJ191" i="1"/>
  <c r="AM192" i="1"/>
  <c r="AN191" i="1"/>
  <c r="AL191" i="1"/>
  <c r="AK192" i="1"/>
  <c r="AC89" i="1"/>
  <c r="AB90" i="1"/>
  <c r="AF90" i="1"/>
  <c r="AG89" i="1"/>
  <c r="AE89" i="1"/>
  <c r="AD90" i="1"/>
  <c r="S88" i="1"/>
  <c r="T89" i="1"/>
  <c r="U88" i="1"/>
  <c r="X89" i="1"/>
  <c r="Y88" i="1"/>
  <c r="V89" i="1"/>
  <c r="W88" i="1"/>
  <c r="Z89" i="1"/>
  <c r="AA88" i="1"/>
  <c r="AJ87" i="1"/>
  <c r="AI88" i="1"/>
  <c r="AN86" i="1"/>
  <c r="AM87" i="1"/>
  <c r="AL86" i="1"/>
  <c r="AK87" i="1"/>
  <c r="Q87" i="1"/>
  <c r="P88" i="1"/>
  <c r="R89" i="1" s="1"/>
  <c r="AB195" i="1" l="1"/>
  <c r="AC194" i="1"/>
  <c r="AF195" i="1"/>
  <c r="AG194" i="1"/>
  <c r="AD195" i="1"/>
  <c r="AE194" i="1"/>
  <c r="Q193" i="1"/>
  <c r="P194" i="1"/>
  <c r="S193" i="1"/>
  <c r="R194" i="1"/>
  <c r="T194" i="1"/>
  <c r="U193" i="1"/>
  <c r="X194" i="1"/>
  <c r="Y193" i="1"/>
  <c r="V194" i="1"/>
  <c r="W193" i="1"/>
  <c r="Z194" i="1"/>
  <c r="AA193" i="1"/>
  <c r="AJ192" i="1"/>
  <c r="AI193" i="1"/>
  <c r="AM193" i="1"/>
  <c r="AN192" i="1"/>
  <c r="AK193" i="1"/>
  <c r="AL192" i="1"/>
  <c r="AB91" i="1"/>
  <c r="AC90" i="1"/>
  <c r="AF91" i="1"/>
  <c r="AG90" i="1"/>
  <c r="AD91" i="1"/>
  <c r="AE90" i="1"/>
  <c r="S89" i="1"/>
  <c r="T90" i="1"/>
  <c r="U89" i="1"/>
  <c r="X90" i="1"/>
  <c r="Y89" i="1"/>
  <c r="V90" i="1"/>
  <c r="W89" i="1"/>
  <c r="Z90" i="1"/>
  <c r="AA89" i="1"/>
  <c r="AI89" i="1"/>
  <c r="AJ88" i="1"/>
  <c r="AN87" i="1"/>
  <c r="AM88" i="1"/>
  <c r="AL87" i="1"/>
  <c r="AK88" i="1"/>
  <c r="Q88" i="1"/>
  <c r="P89" i="1"/>
  <c r="R90" i="1" s="1"/>
  <c r="AB196" i="1" l="1"/>
  <c r="AC195" i="1"/>
  <c r="AF196" i="1"/>
  <c r="AG195" i="1"/>
  <c r="AD196" i="1"/>
  <c r="AE195" i="1"/>
  <c r="Q194" i="1"/>
  <c r="P195" i="1"/>
  <c r="S194" i="1"/>
  <c r="R195" i="1"/>
  <c r="T195" i="1"/>
  <c r="U194" i="1"/>
  <c r="X195" i="1"/>
  <c r="Y194" i="1"/>
  <c r="V195" i="1"/>
  <c r="W194" i="1"/>
  <c r="Z195" i="1"/>
  <c r="AA194" i="1"/>
  <c r="AI194" i="1"/>
  <c r="AJ193" i="1"/>
  <c r="AM194" i="1"/>
  <c r="AN193" i="1"/>
  <c r="AK194" i="1"/>
  <c r="AL193" i="1"/>
  <c r="AC91" i="1"/>
  <c r="AB92" i="1"/>
  <c r="AG91" i="1"/>
  <c r="AF92" i="1"/>
  <c r="AE91" i="1"/>
  <c r="AD92" i="1"/>
  <c r="S90" i="1"/>
  <c r="T91" i="1"/>
  <c r="U90" i="1"/>
  <c r="X91" i="1"/>
  <c r="Y90" i="1"/>
  <c r="V91" i="1"/>
  <c r="W90" i="1"/>
  <c r="Z91" i="1"/>
  <c r="AA90" i="1"/>
  <c r="AI90" i="1"/>
  <c r="AJ89" i="1"/>
  <c r="AM89" i="1"/>
  <c r="AN88" i="1"/>
  <c r="AL88" i="1"/>
  <c r="AK89" i="1"/>
  <c r="Q89" i="1"/>
  <c r="P90" i="1"/>
  <c r="R91" i="1" s="1"/>
  <c r="AB197" i="1" l="1"/>
  <c r="AC196" i="1"/>
  <c r="AF197" i="1"/>
  <c r="AG196" i="1"/>
  <c r="AD197" i="1"/>
  <c r="AE196" i="1"/>
  <c r="Q195" i="1"/>
  <c r="P196" i="1"/>
  <c r="S195" i="1"/>
  <c r="R196" i="1"/>
  <c r="T196" i="1"/>
  <c r="U195" i="1"/>
  <c r="X196" i="1"/>
  <c r="Y195" i="1"/>
  <c r="V196" i="1"/>
  <c r="W195" i="1"/>
  <c r="Z196" i="1"/>
  <c r="AA195" i="1"/>
  <c r="AI195" i="1"/>
  <c r="AJ194" i="1"/>
  <c r="AM195" i="1"/>
  <c r="AN194" i="1"/>
  <c r="AK195" i="1"/>
  <c r="AL194" i="1"/>
  <c r="AB93" i="1"/>
  <c r="AC92" i="1"/>
  <c r="AF93" i="1"/>
  <c r="AG92" i="1"/>
  <c r="AE92" i="1"/>
  <c r="AD93" i="1"/>
  <c r="S91" i="1"/>
  <c r="T92" i="1"/>
  <c r="U91" i="1"/>
  <c r="X92" i="1"/>
  <c r="Y91" i="1"/>
  <c r="V92" i="1"/>
  <c r="W91" i="1"/>
  <c r="Z92" i="1"/>
  <c r="AA91" i="1"/>
  <c r="AJ90" i="1"/>
  <c r="AI91" i="1"/>
  <c r="AM90" i="1"/>
  <c r="AN89" i="1"/>
  <c r="AK90" i="1"/>
  <c r="AL89" i="1"/>
  <c r="Q90" i="1"/>
  <c r="P91" i="1"/>
  <c r="R92" i="1" s="1"/>
  <c r="AC197" i="1" l="1"/>
  <c r="AB198" i="1"/>
  <c r="AG197" i="1"/>
  <c r="AF198" i="1"/>
  <c r="AD198" i="1"/>
  <c r="AE197" i="1"/>
  <c r="Q196" i="1"/>
  <c r="P197" i="1"/>
  <c r="S196" i="1"/>
  <c r="R197" i="1"/>
  <c r="T197" i="1"/>
  <c r="U196" i="1"/>
  <c r="X197" i="1"/>
  <c r="Y196" i="1"/>
  <c r="V197" i="1"/>
  <c r="W196" i="1"/>
  <c r="AA196" i="1"/>
  <c r="Z197" i="1"/>
  <c r="AI196" i="1"/>
  <c r="AJ195" i="1"/>
  <c r="AM196" i="1"/>
  <c r="AN195" i="1"/>
  <c r="AK196" i="1"/>
  <c r="AL195" i="1"/>
  <c r="AC93" i="1"/>
  <c r="AB94" i="1"/>
  <c r="AG93" i="1"/>
  <c r="AF94" i="1"/>
  <c r="AE93" i="1"/>
  <c r="AD94" i="1"/>
  <c r="S92" i="1"/>
  <c r="T93" i="1"/>
  <c r="U92" i="1"/>
  <c r="X93" i="1"/>
  <c r="Y92" i="1"/>
  <c r="V93" i="1"/>
  <c r="W92" i="1"/>
  <c r="Z93" i="1"/>
  <c r="AA92" i="1"/>
  <c r="AJ91" i="1"/>
  <c r="AI92" i="1"/>
  <c r="AN90" i="1"/>
  <c r="AM91" i="1"/>
  <c r="AL90" i="1"/>
  <c r="AK91" i="1"/>
  <c r="Q91" i="1"/>
  <c r="P92" i="1"/>
  <c r="R93" i="1" s="1"/>
  <c r="AB199" i="1" l="1"/>
  <c r="AC198" i="1"/>
  <c r="AF199" i="1"/>
  <c r="AG198" i="1"/>
  <c r="AE198" i="1"/>
  <c r="AD199" i="1"/>
  <c r="Q197" i="1"/>
  <c r="P198" i="1"/>
  <c r="S197" i="1"/>
  <c r="R198" i="1"/>
  <c r="T198" i="1"/>
  <c r="U197" i="1"/>
  <c r="X198" i="1"/>
  <c r="Y197" i="1"/>
  <c r="V198" i="1"/>
  <c r="W197" i="1"/>
  <c r="AA197" i="1"/>
  <c r="Z198" i="1"/>
  <c r="AJ196" i="1"/>
  <c r="AI197" i="1"/>
  <c r="AM197" i="1"/>
  <c r="AN196" i="1"/>
  <c r="AK197" i="1"/>
  <c r="AL196" i="1"/>
  <c r="AC94" i="1"/>
  <c r="AB95" i="1"/>
  <c r="AG94" i="1"/>
  <c r="AF95" i="1"/>
  <c r="AD95" i="1"/>
  <c r="AE94" i="1"/>
  <c r="S93" i="1"/>
  <c r="T94" i="1"/>
  <c r="U93" i="1"/>
  <c r="X94" i="1"/>
  <c r="Y93" i="1"/>
  <c r="V94" i="1"/>
  <c r="W93" i="1"/>
  <c r="Z94" i="1"/>
  <c r="AA93" i="1"/>
  <c r="AI93" i="1"/>
  <c r="AJ92" i="1"/>
  <c r="AN91" i="1"/>
  <c r="AM92" i="1"/>
  <c r="AK92" i="1"/>
  <c r="AL91" i="1"/>
  <c r="Q92" i="1"/>
  <c r="P93" i="1"/>
  <c r="R94" i="1" s="1"/>
  <c r="AB200" i="1" l="1"/>
  <c r="AC199" i="1"/>
  <c r="AF200" i="1"/>
  <c r="AG199" i="1"/>
  <c r="AD200" i="1"/>
  <c r="AE199" i="1"/>
  <c r="Q198" i="1"/>
  <c r="P199" i="1"/>
  <c r="S198" i="1"/>
  <c r="R199" i="1"/>
  <c r="T199" i="1"/>
  <c r="U198" i="1"/>
  <c r="X199" i="1"/>
  <c r="Y198" i="1"/>
  <c r="V199" i="1"/>
  <c r="W198" i="1"/>
  <c r="Z199" i="1"/>
  <c r="AA198" i="1"/>
  <c r="AI198" i="1"/>
  <c r="AJ197" i="1"/>
  <c r="AM198" i="1"/>
  <c r="AN197" i="1"/>
  <c r="AL197" i="1"/>
  <c r="AK198" i="1"/>
  <c r="AB96" i="1"/>
  <c r="AC95" i="1"/>
  <c r="AG95" i="1"/>
  <c r="AF96" i="1"/>
  <c r="AE95" i="1"/>
  <c r="AD96" i="1"/>
  <c r="S94" i="1"/>
  <c r="T95" i="1"/>
  <c r="U94" i="1"/>
  <c r="X95" i="1"/>
  <c r="Y94" i="1"/>
  <c r="V95" i="1"/>
  <c r="W94" i="1"/>
  <c r="Z95" i="1"/>
  <c r="AA94" i="1"/>
  <c r="AJ93" i="1"/>
  <c r="AI94" i="1"/>
  <c r="AN92" i="1"/>
  <c r="AM93" i="1"/>
  <c r="AK93" i="1"/>
  <c r="AL92" i="1"/>
  <c r="Q93" i="1"/>
  <c r="P94" i="1"/>
  <c r="R95" i="1" s="1"/>
  <c r="AB201" i="1" l="1"/>
  <c r="AC200" i="1"/>
  <c r="AF201" i="1"/>
  <c r="AG200" i="1"/>
  <c r="AD201" i="1"/>
  <c r="AE200" i="1"/>
  <c r="Q199" i="1"/>
  <c r="P200" i="1"/>
  <c r="S199" i="1"/>
  <c r="R200" i="1"/>
  <c r="T200" i="1"/>
  <c r="U199" i="1"/>
  <c r="X200" i="1"/>
  <c r="Y199" i="1"/>
  <c r="V200" i="1"/>
  <c r="W199" i="1"/>
  <c r="AA199" i="1"/>
  <c r="Z200" i="1"/>
  <c r="AI199" i="1"/>
  <c r="AJ198" i="1"/>
  <c r="AM199" i="1"/>
  <c r="AN198" i="1"/>
  <c r="AK199" i="1"/>
  <c r="AL198" i="1"/>
  <c r="AC96" i="1"/>
  <c r="AB97" i="1"/>
  <c r="AF97" i="1"/>
  <c r="AG96" i="1"/>
  <c r="AE96" i="1"/>
  <c r="AD97" i="1"/>
  <c r="S95" i="1"/>
  <c r="T96" i="1"/>
  <c r="U95" i="1"/>
  <c r="X96" i="1"/>
  <c r="Y95" i="1"/>
  <c r="V96" i="1"/>
  <c r="W95" i="1"/>
  <c r="Z96" i="1"/>
  <c r="AA95" i="1"/>
  <c r="AI95" i="1"/>
  <c r="AJ94" i="1"/>
  <c r="AN93" i="1"/>
  <c r="AM94" i="1"/>
  <c r="AL93" i="1"/>
  <c r="AK94" i="1"/>
  <c r="Q94" i="1"/>
  <c r="P95" i="1"/>
  <c r="R96" i="1" s="1"/>
  <c r="AB202" i="1" l="1"/>
  <c r="AC201" i="1"/>
  <c r="AG201" i="1"/>
  <c r="AF202" i="1"/>
  <c r="AD202" i="1"/>
  <c r="AE201" i="1"/>
  <c r="Q200" i="1"/>
  <c r="P201" i="1"/>
  <c r="S200" i="1"/>
  <c r="R201" i="1"/>
  <c r="T201" i="1"/>
  <c r="U200" i="1"/>
  <c r="X201" i="1"/>
  <c r="Y200" i="1"/>
  <c r="V201" i="1"/>
  <c r="W200" i="1"/>
  <c r="Z201" i="1"/>
  <c r="AA200" i="1"/>
  <c r="AI200" i="1"/>
  <c r="AJ199" i="1"/>
  <c r="AM200" i="1"/>
  <c r="AN199" i="1"/>
  <c r="AK200" i="1"/>
  <c r="AL199" i="1"/>
  <c r="AB98" i="1"/>
  <c r="AC97" i="1"/>
  <c r="AG97" i="1"/>
  <c r="AF98" i="1"/>
  <c r="AD98" i="1"/>
  <c r="AE97" i="1"/>
  <c r="S96" i="1"/>
  <c r="T97" i="1"/>
  <c r="U96" i="1"/>
  <c r="X97" i="1"/>
  <c r="Y96" i="1"/>
  <c r="V97" i="1"/>
  <c r="W96" i="1"/>
  <c r="Z97" i="1"/>
  <c r="AA96" i="1"/>
  <c r="AI96" i="1"/>
  <c r="AJ95" i="1"/>
  <c r="AM95" i="1"/>
  <c r="AN94" i="1"/>
  <c r="AK95" i="1"/>
  <c r="AL94" i="1"/>
  <c r="Q95" i="1"/>
  <c r="P96" i="1"/>
  <c r="R97" i="1" s="1"/>
  <c r="AC202" i="1" l="1"/>
  <c r="AB203" i="1"/>
  <c r="AF203" i="1"/>
  <c r="AG202" i="1"/>
  <c r="AD203" i="1"/>
  <c r="AE202" i="1"/>
  <c r="Q201" i="1"/>
  <c r="P202" i="1"/>
  <c r="S201" i="1"/>
  <c r="R202" i="1"/>
  <c r="U201" i="1"/>
  <c r="T202" i="1"/>
  <c r="X202" i="1"/>
  <c r="Y201" i="1"/>
  <c r="W201" i="1"/>
  <c r="V202" i="1"/>
  <c r="Z202" i="1"/>
  <c r="AA201" i="1"/>
  <c r="AI201" i="1"/>
  <c r="AJ200" i="1"/>
  <c r="AM201" i="1"/>
  <c r="AN200" i="1"/>
  <c r="AK201" i="1"/>
  <c r="AL200" i="1"/>
  <c r="AB99" i="1"/>
  <c r="AC98" i="1"/>
  <c r="AF99" i="1"/>
  <c r="AG98" i="1"/>
  <c r="AE98" i="1"/>
  <c r="AD99" i="1"/>
  <c r="S97" i="1"/>
  <c r="T98" i="1"/>
  <c r="U97" i="1"/>
  <c r="X98" i="1"/>
  <c r="Y97" i="1"/>
  <c r="V98" i="1"/>
  <c r="W97" i="1"/>
  <c r="Z98" i="1"/>
  <c r="AA97" i="1"/>
  <c r="AJ96" i="1"/>
  <c r="AI97" i="1"/>
  <c r="AM96" i="1"/>
  <c r="AN95" i="1"/>
  <c r="AK96" i="1"/>
  <c r="AL95" i="1"/>
  <c r="Q96" i="1"/>
  <c r="P97" i="1"/>
  <c r="R98" i="1" s="1"/>
  <c r="AC203" i="1" l="1"/>
  <c r="AB204" i="1"/>
  <c r="AF204" i="1"/>
  <c r="AG203" i="1"/>
  <c r="AD204" i="1"/>
  <c r="AE203" i="1"/>
  <c r="Q202" i="1"/>
  <c r="P203" i="1"/>
  <c r="S202" i="1"/>
  <c r="R203" i="1"/>
  <c r="U202" i="1"/>
  <c r="T203" i="1"/>
  <c r="Y202" i="1"/>
  <c r="X203" i="1"/>
  <c r="W202" i="1"/>
  <c r="V203" i="1"/>
  <c r="AA202" i="1"/>
  <c r="Z203" i="1"/>
  <c r="AJ201" i="1"/>
  <c r="AI202" i="1"/>
  <c r="AN201" i="1"/>
  <c r="AM202" i="1"/>
  <c r="AK202" i="1"/>
  <c r="AL201" i="1"/>
  <c r="AB100" i="1"/>
  <c r="AC99" i="1"/>
  <c r="AF100" i="1"/>
  <c r="AG99" i="1"/>
  <c r="AE99" i="1"/>
  <c r="AD100" i="1"/>
  <c r="S98" i="1"/>
  <c r="T99" i="1"/>
  <c r="U98" i="1"/>
  <c r="X99" i="1"/>
  <c r="Y98" i="1"/>
  <c r="V99" i="1"/>
  <c r="W98" i="1"/>
  <c r="Z99" i="1"/>
  <c r="AA98" i="1"/>
  <c r="AI98" i="1"/>
  <c r="AJ97" i="1"/>
  <c r="AM97" i="1"/>
  <c r="AN96" i="1"/>
  <c r="AK97" i="1"/>
  <c r="AL96" i="1"/>
  <c r="Q97" i="1"/>
  <c r="P98" i="1"/>
  <c r="R99" i="1" s="1"/>
  <c r="AC204" i="1" l="1"/>
  <c r="AB205" i="1"/>
  <c r="AG204" i="1"/>
  <c r="AF205" i="1"/>
  <c r="AD205" i="1"/>
  <c r="AE204" i="1"/>
  <c r="Q203" i="1"/>
  <c r="P204" i="1"/>
  <c r="S203" i="1"/>
  <c r="R204" i="1"/>
  <c r="U203" i="1"/>
  <c r="T204" i="1"/>
  <c r="Y203" i="1"/>
  <c r="X204" i="1"/>
  <c r="W203" i="1"/>
  <c r="V204" i="1"/>
  <c r="AA203" i="1"/>
  <c r="Z204" i="1"/>
  <c r="AJ202" i="1"/>
  <c r="AI203" i="1"/>
  <c r="AM203" i="1"/>
  <c r="AN202" i="1"/>
  <c r="AL202" i="1"/>
  <c r="AK203" i="1"/>
  <c r="AC100" i="1"/>
  <c r="AB101" i="1"/>
  <c r="AF101" i="1"/>
  <c r="AG100" i="1"/>
  <c r="AE100" i="1"/>
  <c r="AD101" i="1"/>
  <c r="S99" i="1"/>
  <c r="T100" i="1"/>
  <c r="U99" i="1"/>
  <c r="X100" i="1"/>
  <c r="Y99" i="1"/>
  <c r="V100" i="1"/>
  <c r="W99" i="1"/>
  <c r="Z100" i="1"/>
  <c r="AA99" i="1"/>
  <c r="AI99" i="1"/>
  <c r="AJ98" i="1"/>
  <c r="AM98" i="1"/>
  <c r="AN97" i="1"/>
  <c r="AL97" i="1"/>
  <c r="AK98" i="1"/>
  <c r="Q98" i="1"/>
  <c r="P99" i="1"/>
  <c r="R100" i="1" s="1"/>
  <c r="AC205" i="1" l="1"/>
  <c r="AB206" i="1"/>
  <c r="AF206" i="1"/>
  <c r="AG205" i="1"/>
  <c r="AD206" i="1"/>
  <c r="AE205" i="1"/>
  <c r="Q204" i="1"/>
  <c r="P205" i="1"/>
  <c r="S204" i="1"/>
  <c r="R205" i="1"/>
  <c r="U204" i="1"/>
  <c r="T205" i="1"/>
  <c r="Y204" i="1"/>
  <c r="X205" i="1"/>
  <c r="W204" i="1"/>
  <c r="V205" i="1"/>
  <c r="AA204" i="1"/>
  <c r="Z205" i="1"/>
  <c r="AI204" i="1"/>
  <c r="AJ203" i="1"/>
  <c r="AM204" i="1"/>
  <c r="AN203" i="1"/>
  <c r="AK204" i="1"/>
  <c r="AL203" i="1"/>
  <c r="AC101" i="1"/>
  <c r="AB102" i="1"/>
  <c r="AG101" i="1"/>
  <c r="AF102" i="1"/>
  <c r="AD102" i="1"/>
  <c r="AE101" i="1"/>
  <c r="S100" i="1"/>
  <c r="T101" i="1"/>
  <c r="U100" i="1"/>
  <c r="X101" i="1"/>
  <c r="Y100" i="1"/>
  <c r="V101" i="1"/>
  <c r="W100" i="1"/>
  <c r="Z101" i="1"/>
  <c r="AA100" i="1"/>
  <c r="AI100" i="1"/>
  <c r="AJ99" i="1"/>
  <c r="AN98" i="1"/>
  <c r="AM99" i="1"/>
  <c r="AK99" i="1"/>
  <c r="AL98" i="1"/>
  <c r="Q99" i="1"/>
  <c r="P100" i="1"/>
  <c r="R101" i="1" s="1"/>
  <c r="AC206" i="1" l="1"/>
  <c r="AB207" i="1"/>
  <c r="AF207" i="1"/>
  <c r="AG206" i="1"/>
  <c r="AD207" i="1"/>
  <c r="AE206" i="1"/>
  <c r="Q205" i="1"/>
  <c r="P206" i="1"/>
  <c r="S205" i="1"/>
  <c r="R206" i="1"/>
  <c r="U205" i="1"/>
  <c r="T206" i="1"/>
  <c r="Y205" i="1"/>
  <c r="X206" i="1"/>
  <c r="W205" i="1"/>
  <c r="V206" i="1"/>
  <c r="AA205" i="1"/>
  <c r="Z206" i="1"/>
  <c r="AI205" i="1"/>
  <c r="AJ204" i="1"/>
  <c r="AM205" i="1"/>
  <c r="AN204" i="1"/>
  <c r="AK205" i="1"/>
  <c r="AL204" i="1"/>
  <c r="AB103" i="1"/>
  <c r="AC102" i="1"/>
  <c r="AG102" i="1"/>
  <c r="AF103" i="1"/>
  <c r="AD103" i="1"/>
  <c r="AE102" i="1"/>
  <c r="S101" i="1"/>
  <c r="T102" i="1"/>
  <c r="U101" i="1"/>
  <c r="X102" i="1"/>
  <c r="Y101" i="1"/>
  <c r="V102" i="1"/>
  <c r="W101" i="1"/>
  <c r="Z102" i="1"/>
  <c r="AA101" i="1"/>
  <c r="AJ100" i="1"/>
  <c r="AI101" i="1"/>
  <c r="AM100" i="1"/>
  <c r="AN99" i="1"/>
  <c r="AK100" i="1"/>
  <c r="AL99" i="1"/>
  <c r="Q100" i="1"/>
  <c r="P101" i="1"/>
  <c r="R102" i="1" s="1"/>
  <c r="AC207" i="1" l="1"/>
  <c r="AB208" i="1"/>
  <c r="AF208" i="1"/>
  <c r="AG207" i="1"/>
  <c r="AD208" i="1"/>
  <c r="AE207" i="1"/>
  <c r="Q206" i="1"/>
  <c r="P207" i="1"/>
  <c r="S206" i="1"/>
  <c r="R207" i="1"/>
  <c r="U206" i="1"/>
  <c r="T207" i="1"/>
  <c r="Y206" i="1"/>
  <c r="X207" i="1"/>
  <c r="W206" i="1"/>
  <c r="V207" i="1"/>
  <c r="AA206" i="1"/>
  <c r="Z207" i="1"/>
  <c r="AJ205" i="1"/>
  <c r="AI206" i="1"/>
  <c r="AM206" i="1"/>
  <c r="AN205" i="1"/>
  <c r="AK206" i="1"/>
  <c r="AL205" i="1"/>
  <c r="AB104" i="1"/>
  <c r="AC103" i="1"/>
  <c r="AF104" i="1"/>
  <c r="AG103" i="1"/>
  <c r="AE103" i="1"/>
  <c r="AD104" i="1"/>
  <c r="S102" i="1"/>
  <c r="T103" i="1"/>
  <c r="U102" i="1"/>
  <c r="X103" i="1"/>
  <c r="Y102" i="1"/>
  <c r="V103" i="1"/>
  <c r="W102" i="1"/>
  <c r="Z103" i="1"/>
  <c r="AA102" i="1"/>
  <c r="AI102" i="1"/>
  <c r="AJ101" i="1"/>
  <c r="AM101" i="1"/>
  <c r="AN100" i="1"/>
  <c r="AL100" i="1"/>
  <c r="AK101" i="1"/>
  <c r="Q101" i="1"/>
  <c r="P102" i="1"/>
  <c r="R103" i="1" s="1"/>
  <c r="AC208" i="1" l="1"/>
  <c r="AB209" i="1"/>
  <c r="AF209" i="1"/>
  <c r="AG208" i="1"/>
  <c r="AD209" i="1"/>
  <c r="AE208" i="1"/>
  <c r="Q207" i="1"/>
  <c r="P208" i="1"/>
  <c r="S207" i="1"/>
  <c r="R208" i="1"/>
  <c r="U207" i="1"/>
  <c r="T208" i="1"/>
  <c r="Y207" i="1"/>
  <c r="X208" i="1"/>
  <c r="W207" i="1"/>
  <c r="V208" i="1"/>
  <c r="AA207" i="1"/>
  <c r="Z208" i="1"/>
  <c r="AI207" i="1"/>
  <c r="AJ206" i="1"/>
  <c r="AM207" i="1"/>
  <c r="AN206" i="1"/>
  <c r="AK207" i="1"/>
  <c r="AL206" i="1"/>
  <c r="AB105" i="1"/>
  <c r="AC104" i="1"/>
  <c r="AF105" i="1"/>
  <c r="AG104" i="1"/>
  <c r="AE104" i="1"/>
  <c r="AD105" i="1"/>
  <c r="S103" i="1"/>
  <c r="T104" i="1"/>
  <c r="U103" i="1"/>
  <c r="X104" i="1"/>
  <c r="Y103" i="1"/>
  <c r="V104" i="1"/>
  <c r="W103" i="1"/>
  <c r="Z104" i="1"/>
  <c r="AA103" i="1"/>
  <c r="AJ102" i="1"/>
  <c r="AI103" i="1"/>
  <c r="AN101" i="1"/>
  <c r="AM102" i="1"/>
  <c r="AK102" i="1"/>
  <c r="AL101" i="1"/>
  <c r="Q102" i="1"/>
  <c r="P103" i="1"/>
  <c r="R104" i="1" s="1"/>
  <c r="AC209" i="1" l="1"/>
  <c r="AB210" i="1"/>
  <c r="AF210" i="1"/>
  <c r="AG209" i="1"/>
  <c r="AD210" i="1"/>
  <c r="AE209" i="1"/>
  <c r="Q208" i="1"/>
  <c r="P209" i="1"/>
  <c r="R209" i="1"/>
  <c r="S208" i="1"/>
  <c r="U208" i="1"/>
  <c r="T209" i="1"/>
  <c r="Y208" i="1"/>
  <c r="X209" i="1"/>
  <c r="W208" i="1"/>
  <c r="V209" i="1"/>
  <c r="AA208" i="1"/>
  <c r="Z209" i="1"/>
  <c r="AJ207" i="1"/>
  <c r="AI208" i="1"/>
  <c r="AM208" i="1"/>
  <c r="AN207" i="1"/>
  <c r="AK208" i="1"/>
  <c r="AL207" i="1"/>
  <c r="AB106" i="1"/>
  <c r="AC105" i="1"/>
  <c r="AF106" i="1"/>
  <c r="AG105" i="1"/>
  <c r="AE105" i="1"/>
  <c r="AD106" i="1"/>
  <c r="S104" i="1"/>
  <c r="T105" i="1"/>
  <c r="U104" i="1"/>
  <c r="X105" i="1"/>
  <c r="Y104" i="1"/>
  <c r="V105" i="1"/>
  <c r="W104" i="1"/>
  <c r="Z105" i="1"/>
  <c r="AA104" i="1"/>
  <c r="AI104" i="1"/>
  <c r="AJ103" i="1"/>
  <c r="AN102" i="1"/>
  <c r="AM103" i="1"/>
  <c r="AK103" i="1"/>
  <c r="AL102" i="1"/>
  <c r="Q103" i="1"/>
  <c r="P104" i="1"/>
  <c r="R105" i="1" s="1"/>
  <c r="AC210" i="1" l="1"/>
  <c r="AB211" i="1"/>
  <c r="AG210" i="1"/>
  <c r="AF211" i="1"/>
  <c r="AE210" i="1"/>
  <c r="AD211" i="1"/>
  <c r="Q209" i="1"/>
  <c r="P210" i="1"/>
  <c r="S209" i="1"/>
  <c r="R210" i="1"/>
  <c r="U209" i="1"/>
  <c r="T210" i="1"/>
  <c r="Y209" i="1"/>
  <c r="X210" i="1"/>
  <c r="W209" i="1"/>
  <c r="V210" i="1"/>
  <c r="AA209" i="1"/>
  <c r="Z210" i="1"/>
  <c r="AI209" i="1"/>
  <c r="AJ208" i="1"/>
  <c r="AM209" i="1"/>
  <c r="AN208" i="1"/>
  <c r="AK209" i="1"/>
  <c r="AL208" i="1"/>
  <c r="AB107" i="1"/>
  <c r="AC106" i="1"/>
  <c r="AF107" i="1"/>
  <c r="AG106" i="1"/>
  <c r="AE106" i="1"/>
  <c r="AD107" i="1"/>
  <c r="S105" i="1"/>
  <c r="T106" i="1"/>
  <c r="U105" i="1"/>
  <c r="X106" i="1"/>
  <c r="Y105" i="1"/>
  <c r="V106" i="1"/>
  <c r="W105" i="1"/>
  <c r="Z106" i="1"/>
  <c r="AA105" i="1"/>
  <c r="AJ104" i="1"/>
  <c r="AI105" i="1"/>
  <c r="AN103" i="1"/>
  <c r="AM104" i="1"/>
  <c r="AK104" i="1"/>
  <c r="AL103" i="1"/>
  <c r="Q104" i="1"/>
  <c r="P105" i="1"/>
  <c r="R106" i="1" s="1"/>
  <c r="AC211" i="1" l="1"/>
  <c r="AB212" i="1"/>
  <c r="AG211" i="1"/>
  <c r="AF212" i="1"/>
  <c r="AE211" i="1"/>
  <c r="AD212" i="1"/>
  <c r="Q210" i="1"/>
  <c r="P211" i="1"/>
  <c r="S210" i="1"/>
  <c r="R211" i="1"/>
  <c r="U210" i="1"/>
  <c r="T211" i="1"/>
  <c r="Y210" i="1"/>
  <c r="X211" i="1"/>
  <c r="W210" i="1"/>
  <c r="V211" i="1"/>
  <c r="AA210" i="1"/>
  <c r="Z211" i="1"/>
  <c r="AI210" i="1"/>
  <c r="AJ209" i="1"/>
  <c r="AM210" i="1"/>
  <c r="AN209" i="1"/>
  <c r="AK210" i="1"/>
  <c r="AL209" i="1"/>
  <c r="AB108" i="1"/>
  <c r="AC107" i="1"/>
  <c r="AF108" i="1"/>
  <c r="AG107" i="1"/>
  <c r="AE107" i="1"/>
  <c r="AD108" i="1"/>
  <c r="S106" i="1"/>
  <c r="T107" i="1"/>
  <c r="U106" i="1"/>
  <c r="X107" i="1"/>
  <c r="Y106" i="1"/>
  <c r="V107" i="1"/>
  <c r="W106" i="1"/>
  <c r="Z107" i="1"/>
  <c r="AA106" i="1"/>
  <c r="AI106" i="1"/>
  <c r="AJ105" i="1"/>
  <c r="AM105" i="1"/>
  <c r="AN104" i="1"/>
  <c r="AK105" i="1"/>
  <c r="AL104" i="1"/>
  <c r="Q105" i="1"/>
  <c r="P106" i="1"/>
  <c r="R107" i="1" s="1"/>
  <c r="AC212" i="1" l="1"/>
  <c r="AB213" i="1"/>
  <c r="AG212" i="1"/>
  <c r="AF213" i="1"/>
  <c r="AE212" i="1"/>
  <c r="AD213" i="1"/>
  <c r="Q211" i="1"/>
  <c r="P212" i="1"/>
  <c r="R212" i="1"/>
  <c r="S211" i="1"/>
  <c r="U211" i="1"/>
  <c r="T212" i="1"/>
  <c r="Y211" i="1"/>
  <c r="X212" i="1"/>
  <c r="W211" i="1"/>
  <c r="V212" i="1"/>
  <c r="AA211" i="1"/>
  <c r="Z212" i="1"/>
  <c r="AJ210" i="1"/>
  <c r="AI211" i="1"/>
  <c r="AM211" i="1"/>
  <c r="AN210" i="1"/>
  <c r="AK211" i="1"/>
  <c r="AL210" i="1"/>
  <c r="AC108" i="1"/>
  <c r="AB109" i="1"/>
  <c r="AG108" i="1"/>
  <c r="AF109" i="1"/>
  <c r="AE108" i="1"/>
  <c r="AD109" i="1"/>
  <c r="S107" i="1"/>
  <c r="T108" i="1"/>
  <c r="U107" i="1"/>
  <c r="X108" i="1"/>
  <c r="Y107" i="1"/>
  <c r="V108" i="1"/>
  <c r="W107" i="1"/>
  <c r="Z108" i="1"/>
  <c r="AA107" i="1"/>
  <c r="AI107" i="1"/>
  <c r="AJ106" i="1"/>
  <c r="AM106" i="1"/>
  <c r="AN105" i="1"/>
  <c r="AL105" i="1"/>
  <c r="AK106" i="1"/>
  <c r="Q106" i="1"/>
  <c r="P107" i="1"/>
  <c r="R108" i="1" s="1"/>
  <c r="AC213" i="1" l="1"/>
  <c r="AB214" i="1"/>
  <c r="AG213" i="1"/>
  <c r="AF214" i="1"/>
  <c r="AE213" i="1"/>
  <c r="AD214" i="1"/>
  <c r="Q212" i="1"/>
  <c r="P213" i="1"/>
  <c r="S212" i="1"/>
  <c r="R213" i="1"/>
  <c r="U212" i="1"/>
  <c r="T213" i="1"/>
  <c r="Y212" i="1"/>
  <c r="X213" i="1"/>
  <c r="W212" i="1"/>
  <c r="V213" i="1"/>
  <c r="AA212" i="1"/>
  <c r="Z213" i="1"/>
  <c r="AJ211" i="1"/>
  <c r="AI212" i="1"/>
  <c r="AM212" i="1"/>
  <c r="AN211" i="1"/>
  <c r="AK212" i="1"/>
  <c r="AL211" i="1"/>
  <c r="AB110" i="1"/>
  <c r="AC109" i="1"/>
  <c r="AF110" i="1"/>
  <c r="AG109" i="1"/>
  <c r="AD110" i="1"/>
  <c r="AE109" i="1"/>
  <c r="S108" i="1"/>
  <c r="T109" i="1"/>
  <c r="U108" i="1"/>
  <c r="X109" i="1"/>
  <c r="Y108" i="1"/>
  <c r="V109" i="1"/>
  <c r="W108" i="1"/>
  <c r="Z109" i="1"/>
  <c r="AA108" i="1"/>
  <c r="AI108" i="1"/>
  <c r="AJ107" i="1"/>
  <c r="AN106" i="1"/>
  <c r="AM107" i="1"/>
  <c r="AL106" i="1"/>
  <c r="AK107" i="1"/>
  <c r="Q107" i="1"/>
  <c r="P108" i="1"/>
  <c r="R109" i="1" s="1"/>
  <c r="AC214" i="1" l="1"/>
  <c r="AB215" i="1"/>
  <c r="AG214" i="1"/>
  <c r="AF215" i="1"/>
  <c r="AE214" i="1"/>
  <c r="AD215" i="1"/>
  <c r="Q213" i="1"/>
  <c r="P214" i="1"/>
  <c r="S213" i="1"/>
  <c r="R214" i="1"/>
  <c r="T214" i="1"/>
  <c r="U213" i="1"/>
  <c r="Y213" i="1"/>
  <c r="X214" i="1"/>
  <c r="W213" i="1"/>
  <c r="V214" i="1"/>
  <c r="AA213" i="1"/>
  <c r="Z214" i="1"/>
  <c r="AJ212" i="1"/>
  <c r="AI213" i="1"/>
  <c r="AM213" i="1"/>
  <c r="AN212" i="1"/>
  <c r="AK213" i="1"/>
  <c r="AL212" i="1"/>
  <c r="AC110" i="1"/>
  <c r="AB111" i="1"/>
  <c r="AG110" i="1"/>
  <c r="AF111" i="1"/>
  <c r="AD111" i="1"/>
  <c r="AE110" i="1"/>
  <c r="S109" i="1"/>
  <c r="T110" i="1"/>
  <c r="U109" i="1"/>
  <c r="X110" i="1"/>
  <c r="Y109" i="1"/>
  <c r="V110" i="1"/>
  <c r="W109" i="1"/>
  <c r="Z110" i="1"/>
  <c r="AA109" i="1"/>
  <c r="AJ108" i="1"/>
  <c r="AI109" i="1"/>
  <c r="AN107" i="1"/>
  <c r="AM108" i="1"/>
  <c r="AK108" i="1"/>
  <c r="AL107" i="1"/>
  <c r="Q108" i="1"/>
  <c r="P109" i="1"/>
  <c r="R110" i="1" s="1"/>
  <c r="AC215" i="1" l="1"/>
  <c r="AB216" i="1"/>
  <c r="AF216" i="1"/>
  <c r="AG215" i="1"/>
  <c r="AE215" i="1"/>
  <c r="AD216" i="1"/>
  <c r="Q214" i="1"/>
  <c r="P215" i="1"/>
  <c r="S214" i="1"/>
  <c r="R215" i="1"/>
  <c r="U214" i="1"/>
  <c r="T215" i="1"/>
  <c r="Y214" i="1"/>
  <c r="X215" i="1"/>
  <c r="W214" i="1"/>
  <c r="V215" i="1"/>
  <c r="AA214" i="1"/>
  <c r="Z215" i="1"/>
  <c r="AJ213" i="1"/>
  <c r="AI214" i="1"/>
  <c r="AN213" i="1"/>
  <c r="AM214" i="1"/>
  <c r="AK214" i="1"/>
  <c r="AL213" i="1"/>
  <c r="AB112" i="1"/>
  <c r="AC111" i="1"/>
  <c r="AF112" i="1"/>
  <c r="AG111" i="1"/>
  <c r="AD112" i="1"/>
  <c r="AE111" i="1"/>
  <c r="S110" i="1"/>
  <c r="T111" i="1"/>
  <c r="U110" i="1"/>
  <c r="X111" i="1"/>
  <c r="Y110" i="1"/>
  <c r="V111" i="1"/>
  <c r="W110" i="1"/>
  <c r="Z111" i="1"/>
  <c r="AA110" i="1"/>
  <c r="AJ109" i="1"/>
  <c r="AI110" i="1"/>
  <c r="AM109" i="1"/>
  <c r="AN108" i="1"/>
  <c r="AK109" i="1"/>
  <c r="AL108" i="1"/>
  <c r="Q109" i="1"/>
  <c r="P110" i="1"/>
  <c r="R111" i="1" s="1"/>
  <c r="AC216" i="1" l="1"/>
  <c r="AB217" i="1"/>
  <c r="AG216" i="1"/>
  <c r="AF217" i="1"/>
  <c r="AE216" i="1"/>
  <c r="AD217" i="1"/>
  <c r="Q215" i="1"/>
  <c r="P216" i="1"/>
  <c r="S215" i="1"/>
  <c r="R216" i="1"/>
  <c r="U215" i="1"/>
  <c r="T216" i="1"/>
  <c r="X216" i="1"/>
  <c r="Y215" i="1"/>
  <c r="W215" i="1"/>
  <c r="V216" i="1"/>
  <c r="AA215" i="1"/>
  <c r="Z216" i="1"/>
  <c r="AJ214" i="1"/>
  <c r="AI215" i="1"/>
  <c r="AN214" i="1"/>
  <c r="AM215" i="1"/>
  <c r="AK215" i="1"/>
  <c r="AL214" i="1"/>
  <c r="AB113" i="1"/>
  <c r="AC112" i="1"/>
  <c r="AF113" i="1"/>
  <c r="AG112" i="1"/>
  <c r="AD113" i="1"/>
  <c r="AE112" i="1"/>
  <c r="S111" i="1"/>
  <c r="T112" i="1"/>
  <c r="U111" i="1"/>
  <c r="X112" i="1"/>
  <c r="Y111" i="1"/>
  <c r="V112" i="1"/>
  <c r="W111" i="1"/>
  <c r="Z112" i="1"/>
  <c r="AA111" i="1"/>
  <c r="AI111" i="1"/>
  <c r="AJ110" i="1"/>
  <c r="AM110" i="1"/>
  <c r="AN109" i="1"/>
  <c r="AK110" i="1"/>
  <c r="AL109" i="1"/>
  <c r="Q110" i="1"/>
  <c r="P111" i="1"/>
  <c r="R112" i="1" s="1"/>
  <c r="AC217" i="1" l="1"/>
  <c r="AB218" i="1"/>
  <c r="AG217" i="1"/>
  <c r="AF218" i="1"/>
  <c r="AE217" i="1"/>
  <c r="AD218" i="1"/>
  <c r="Q216" i="1"/>
  <c r="P217" i="1"/>
  <c r="S216" i="1"/>
  <c r="R217" i="1"/>
  <c r="T217" i="1"/>
  <c r="U216" i="1"/>
  <c r="Y216" i="1"/>
  <c r="X217" i="1"/>
  <c r="W216" i="1"/>
  <c r="V217" i="1"/>
  <c r="Z217" i="1"/>
  <c r="AA216" i="1"/>
  <c r="AJ215" i="1"/>
  <c r="AI216" i="1"/>
  <c r="AN215" i="1"/>
  <c r="AM216" i="1"/>
  <c r="AK216" i="1"/>
  <c r="AL215" i="1"/>
  <c r="AC113" i="1"/>
  <c r="AB114" i="1"/>
  <c r="AF114" i="1"/>
  <c r="AG113" i="1"/>
  <c r="AE113" i="1"/>
  <c r="AD114" i="1"/>
  <c r="S112" i="1"/>
  <c r="T113" i="1"/>
  <c r="U112" i="1"/>
  <c r="X113" i="1"/>
  <c r="Y112" i="1"/>
  <c r="V113" i="1"/>
  <c r="W112" i="1"/>
  <c r="Z113" i="1"/>
  <c r="AA112" i="1"/>
  <c r="AI112" i="1"/>
  <c r="AJ111" i="1"/>
  <c r="AM111" i="1"/>
  <c r="AN110" i="1"/>
  <c r="AL110" i="1"/>
  <c r="AK111" i="1"/>
  <c r="Q111" i="1"/>
  <c r="P112" i="1"/>
  <c r="R113" i="1" s="1"/>
  <c r="AC218" i="1" l="1"/>
  <c r="AB219" i="1"/>
  <c r="AG218" i="1"/>
  <c r="AF219" i="1"/>
  <c r="AE218" i="1"/>
  <c r="AD219" i="1"/>
  <c r="P218" i="1"/>
  <c r="Q217" i="1"/>
  <c r="S217" i="1"/>
  <c r="R218" i="1"/>
  <c r="U217" i="1"/>
  <c r="T218" i="1"/>
  <c r="Y217" i="1"/>
  <c r="X218" i="1"/>
  <c r="W217" i="1"/>
  <c r="V218" i="1"/>
  <c r="AA217" i="1"/>
  <c r="Z218" i="1"/>
  <c r="AI217" i="1"/>
  <c r="AJ216" i="1"/>
  <c r="AM217" i="1"/>
  <c r="AN216" i="1"/>
  <c r="AK217" i="1"/>
  <c r="AL216" i="1"/>
  <c r="AB115" i="1"/>
  <c r="AC114" i="1"/>
  <c r="AF115" i="1"/>
  <c r="AG114" i="1"/>
  <c r="AD115" i="1"/>
  <c r="AE114" i="1"/>
  <c r="S113" i="1"/>
  <c r="T114" i="1"/>
  <c r="U113" i="1"/>
  <c r="X114" i="1"/>
  <c r="Y113" i="1"/>
  <c r="V114" i="1"/>
  <c r="W113" i="1"/>
  <c r="Z114" i="1"/>
  <c r="AA113" i="1"/>
  <c r="AJ112" i="1"/>
  <c r="AI113" i="1"/>
  <c r="AN111" i="1"/>
  <c r="AM112" i="1"/>
  <c r="AK112" i="1"/>
  <c r="AL111" i="1"/>
  <c r="Q112" i="1"/>
  <c r="P113" i="1"/>
  <c r="R114" i="1" s="1"/>
  <c r="AC219" i="1" l="1"/>
  <c r="AB220" i="1"/>
  <c r="AG219" i="1"/>
  <c r="AF220" i="1"/>
  <c r="AE219" i="1"/>
  <c r="AD220" i="1"/>
  <c r="Q218" i="1"/>
  <c r="P219" i="1"/>
  <c r="S218" i="1"/>
  <c r="R219" i="1"/>
  <c r="U218" i="1"/>
  <c r="T219" i="1"/>
  <c r="Y218" i="1"/>
  <c r="X219" i="1"/>
  <c r="W218" i="1"/>
  <c r="V219" i="1"/>
  <c r="AA218" i="1"/>
  <c r="Z219" i="1"/>
  <c r="AJ217" i="1"/>
  <c r="AI218" i="1"/>
  <c r="AN217" i="1"/>
  <c r="AM218" i="1"/>
  <c r="AL217" i="1"/>
  <c r="AK218" i="1"/>
  <c r="AB116" i="1"/>
  <c r="AC115" i="1"/>
  <c r="AF116" i="1"/>
  <c r="AG115" i="1"/>
  <c r="AD116" i="1"/>
  <c r="AE115" i="1"/>
  <c r="S114" i="1"/>
  <c r="T115" i="1"/>
  <c r="U114" i="1"/>
  <c r="X115" i="1"/>
  <c r="Y114" i="1"/>
  <c r="V115" i="1"/>
  <c r="W114" i="1"/>
  <c r="Z115" i="1"/>
  <c r="AA114" i="1"/>
  <c r="AI114" i="1"/>
  <c r="AJ113" i="1"/>
  <c r="AN112" i="1"/>
  <c r="AM113" i="1"/>
  <c r="AK113" i="1"/>
  <c r="AL112" i="1"/>
  <c r="Q113" i="1"/>
  <c r="P114" i="1"/>
  <c r="R115" i="1" s="1"/>
  <c r="AC220" i="1" l="1"/>
  <c r="AB221" i="1"/>
  <c r="AG220" i="1"/>
  <c r="AF221" i="1"/>
  <c r="AE220" i="1"/>
  <c r="AD221" i="1"/>
  <c r="Q219" i="1"/>
  <c r="P220" i="1"/>
  <c r="S219" i="1"/>
  <c r="R220" i="1"/>
  <c r="U219" i="1"/>
  <c r="T220" i="1"/>
  <c r="Y219" i="1"/>
  <c r="X220" i="1"/>
  <c r="W219" i="1"/>
  <c r="V220" i="1"/>
  <c r="AA219" i="1"/>
  <c r="Z220" i="1"/>
  <c r="AJ218" i="1"/>
  <c r="AI219" i="1"/>
  <c r="AN218" i="1"/>
  <c r="AM219" i="1"/>
  <c r="AL218" i="1"/>
  <c r="AK219" i="1"/>
  <c r="AB117" i="1"/>
  <c r="AC116" i="1"/>
  <c r="AF117" i="1"/>
  <c r="AG116" i="1"/>
  <c r="AD117" i="1"/>
  <c r="AE116" i="1"/>
  <c r="S115" i="1"/>
  <c r="T116" i="1"/>
  <c r="U115" i="1"/>
  <c r="X116" i="1"/>
  <c r="Y115" i="1"/>
  <c r="V116" i="1"/>
  <c r="W115" i="1"/>
  <c r="Z116" i="1"/>
  <c r="AA115" i="1"/>
  <c r="AJ114" i="1"/>
  <c r="AI115" i="1"/>
  <c r="AM114" i="1"/>
  <c r="AN113" i="1"/>
  <c r="AK114" i="1"/>
  <c r="AL113" i="1"/>
  <c r="Q114" i="1"/>
  <c r="P115" i="1"/>
  <c r="R116" i="1" s="1"/>
  <c r="AC221" i="1" l="1"/>
  <c r="AB222" i="1"/>
  <c r="AG221" i="1"/>
  <c r="AF222" i="1"/>
  <c r="AE221" i="1"/>
  <c r="AD222" i="1"/>
  <c r="Q220" i="1"/>
  <c r="P221" i="1"/>
  <c r="S220" i="1"/>
  <c r="R221" i="1"/>
  <c r="U220" i="1"/>
  <c r="T221" i="1"/>
  <c r="Y220" i="1"/>
  <c r="X221" i="1"/>
  <c r="W220" i="1"/>
  <c r="V221" i="1"/>
  <c r="AA220" i="1"/>
  <c r="Z221" i="1"/>
  <c r="AJ219" i="1"/>
  <c r="AI220" i="1"/>
  <c r="AN219" i="1"/>
  <c r="AM220" i="1"/>
  <c r="AL219" i="1"/>
  <c r="AK220" i="1"/>
  <c r="AB118" i="1"/>
  <c r="AC117" i="1"/>
  <c r="AF118" i="1"/>
  <c r="AG117" i="1"/>
  <c r="AD118" i="1"/>
  <c r="AE117" i="1"/>
  <c r="S116" i="1"/>
  <c r="T117" i="1"/>
  <c r="U116" i="1"/>
  <c r="X117" i="1"/>
  <c r="Y116" i="1"/>
  <c r="V117" i="1"/>
  <c r="W116" i="1"/>
  <c r="Z117" i="1"/>
  <c r="AA116" i="1"/>
  <c r="AI116" i="1"/>
  <c r="AJ115" i="1"/>
  <c r="AN114" i="1"/>
  <c r="AM115" i="1"/>
  <c r="AK115" i="1"/>
  <c r="AL114" i="1"/>
  <c r="Q115" i="1"/>
  <c r="P116" i="1"/>
  <c r="R117" i="1" s="1"/>
  <c r="AC222" i="1" l="1"/>
  <c r="AB223" i="1"/>
  <c r="AG222" i="1"/>
  <c r="AF223" i="1"/>
  <c r="AE222" i="1"/>
  <c r="AD223" i="1"/>
  <c r="Q221" i="1"/>
  <c r="P222" i="1"/>
  <c r="S221" i="1"/>
  <c r="R222" i="1"/>
  <c r="U221" i="1"/>
  <c r="T222" i="1"/>
  <c r="Y221" i="1"/>
  <c r="X222" i="1"/>
  <c r="W221" i="1"/>
  <c r="V222" i="1"/>
  <c r="AA221" i="1"/>
  <c r="Z222" i="1"/>
  <c r="AJ220" i="1"/>
  <c r="AI221" i="1"/>
  <c r="AN220" i="1"/>
  <c r="AM221" i="1"/>
  <c r="AL220" i="1"/>
  <c r="AK221" i="1"/>
  <c r="AB119" i="1"/>
  <c r="AC118" i="1"/>
  <c r="AG118" i="1"/>
  <c r="AF119" i="1"/>
  <c r="AD119" i="1"/>
  <c r="AE118" i="1"/>
  <c r="S117" i="1"/>
  <c r="T118" i="1"/>
  <c r="U117" i="1"/>
  <c r="X118" i="1"/>
  <c r="Y117" i="1"/>
  <c r="V118" i="1"/>
  <c r="W117" i="1"/>
  <c r="Z118" i="1"/>
  <c r="AA117" i="1"/>
  <c r="AJ116" i="1"/>
  <c r="AI117" i="1"/>
  <c r="AM116" i="1"/>
  <c r="AN115" i="1"/>
  <c r="AK116" i="1"/>
  <c r="AL115" i="1"/>
  <c r="Q116" i="1"/>
  <c r="P117" i="1"/>
  <c r="R118" i="1" s="1"/>
  <c r="AC223" i="1" l="1"/>
  <c r="AB224" i="1"/>
  <c r="AG223" i="1"/>
  <c r="AF224" i="1"/>
  <c r="AE223" i="1"/>
  <c r="AD224" i="1"/>
  <c r="Q222" i="1"/>
  <c r="P223" i="1"/>
  <c r="S222" i="1"/>
  <c r="R223" i="1"/>
  <c r="U222" i="1"/>
  <c r="T223" i="1"/>
  <c r="Y222" i="1"/>
  <c r="X223" i="1"/>
  <c r="W222" i="1"/>
  <c r="V223" i="1"/>
  <c r="AA222" i="1"/>
  <c r="Z223" i="1"/>
  <c r="AJ221" i="1"/>
  <c r="AI222" i="1"/>
  <c r="AN221" i="1"/>
  <c r="AM222" i="1"/>
  <c r="AL221" i="1"/>
  <c r="AK222" i="1"/>
  <c r="AC119" i="1"/>
  <c r="AB120" i="1"/>
  <c r="AG119" i="1"/>
  <c r="AF120" i="1"/>
  <c r="AD120" i="1"/>
  <c r="AE119" i="1"/>
  <c r="S118" i="1"/>
  <c r="T119" i="1"/>
  <c r="U118" i="1"/>
  <c r="X119" i="1"/>
  <c r="Y118" i="1"/>
  <c r="V119" i="1"/>
  <c r="W118" i="1"/>
  <c r="Z119" i="1"/>
  <c r="AA118" i="1"/>
  <c r="AJ117" i="1"/>
  <c r="AI118" i="1"/>
  <c r="AN116" i="1"/>
  <c r="AM117" i="1"/>
  <c r="AK117" i="1"/>
  <c r="AL116" i="1"/>
  <c r="Q117" i="1"/>
  <c r="P118" i="1"/>
  <c r="R119" i="1" s="1"/>
  <c r="AC224" i="1" l="1"/>
  <c r="AB225" i="1"/>
  <c r="AG224" i="1"/>
  <c r="AF225" i="1"/>
  <c r="AE224" i="1"/>
  <c r="AD225" i="1"/>
  <c r="Q223" i="1"/>
  <c r="P224" i="1"/>
  <c r="S223" i="1"/>
  <c r="R224" i="1"/>
  <c r="U223" i="1"/>
  <c r="T224" i="1"/>
  <c r="Y223" i="1"/>
  <c r="X224" i="1"/>
  <c r="W223" i="1"/>
  <c r="V224" i="1"/>
  <c r="AA223" i="1"/>
  <c r="Z224" i="1"/>
  <c r="AJ222" i="1"/>
  <c r="AI223" i="1"/>
  <c r="AN222" i="1"/>
  <c r="AM223" i="1"/>
  <c r="AL222" i="1"/>
  <c r="AK223" i="1"/>
  <c r="AB121" i="1"/>
  <c r="AC120" i="1"/>
  <c r="AG120" i="1"/>
  <c r="AF121" i="1"/>
  <c r="AD121" i="1"/>
  <c r="AE120" i="1"/>
  <c r="S119" i="1"/>
  <c r="T120" i="1"/>
  <c r="U119" i="1"/>
  <c r="X120" i="1"/>
  <c r="Y119" i="1"/>
  <c r="V120" i="1"/>
  <c r="W119" i="1"/>
  <c r="Z120" i="1"/>
  <c r="AA119" i="1"/>
  <c r="AI119" i="1"/>
  <c r="AJ118" i="1"/>
  <c r="AM118" i="1"/>
  <c r="AN117" i="1"/>
  <c r="AL117" i="1"/>
  <c r="AK118" i="1"/>
  <c r="Q118" i="1"/>
  <c r="P119" i="1"/>
  <c r="R120" i="1" s="1"/>
  <c r="AC225" i="1" l="1"/>
  <c r="AB226" i="1"/>
  <c r="AG225" i="1"/>
  <c r="AF226" i="1"/>
  <c r="AE225" i="1"/>
  <c r="AD226" i="1"/>
  <c r="Q224" i="1"/>
  <c r="P225" i="1"/>
  <c r="S224" i="1"/>
  <c r="R225" i="1"/>
  <c r="U224" i="1"/>
  <c r="T225" i="1"/>
  <c r="Y224" i="1"/>
  <c r="X225" i="1"/>
  <c r="W224" i="1"/>
  <c r="V225" i="1"/>
  <c r="AA224" i="1"/>
  <c r="Z225" i="1"/>
  <c r="AJ223" i="1"/>
  <c r="AI224" i="1"/>
  <c r="AN223" i="1"/>
  <c r="AM224" i="1"/>
  <c r="AL223" i="1"/>
  <c r="AK224" i="1"/>
  <c r="AB122" i="1"/>
  <c r="AC121" i="1"/>
  <c r="AF122" i="1"/>
  <c r="AG121" i="1"/>
  <c r="AD122" i="1"/>
  <c r="AE121" i="1"/>
  <c r="S120" i="1"/>
  <c r="T121" i="1"/>
  <c r="U120" i="1"/>
  <c r="X121" i="1"/>
  <c r="Y120" i="1"/>
  <c r="V121" i="1"/>
  <c r="W120" i="1"/>
  <c r="Z121" i="1"/>
  <c r="AA120" i="1"/>
  <c r="AI120" i="1"/>
  <c r="AJ119" i="1"/>
  <c r="AN118" i="1"/>
  <c r="AM119" i="1"/>
  <c r="AL118" i="1"/>
  <c r="AK119" i="1"/>
  <c r="Q119" i="1"/>
  <c r="P120" i="1"/>
  <c r="R121" i="1" s="1"/>
  <c r="AB227" i="1" l="1"/>
  <c r="AC226" i="1"/>
  <c r="AG226" i="1"/>
  <c r="AF227" i="1"/>
  <c r="AE226" i="1"/>
  <c r="AD227" i="1"/>
  <c r="Q225" i="1"/>
  <c r="P226" i="1"/>
  <c r="S225" i="1"/>
  <c r="R226" i="1"/>
  <c r="U225" i="1"/>
  <c r="T226" i="1"/>
  <c r="Y225" i="1"/>
  <c r="X226" i="1"/>
  <c r="W225" i="1"/>
  <c r="V226" i="1"/>
  <c r="AA225" i="1"/>
  <c r="Z226" i="1"/>
  <c r="AJ224" i="1"/>
  <c r="AI225" i="1"/>
  <c r="AN224" i="1"/>
  <c r="AM225" i="1"/>
  <c r="AL224" i="1"/>
  <c r="AK225" i="1"/>
  <c r="AB123" i="1"/>
  <c r="AC122" i="1"/>
  <c r="AF123" i="1"/>
  <c r="AG122" i="1"/>
  <c r="AD123" i="1"/>
  <c r="AE122" i="1"/>
  <c r="S121" i="1"/>
  <c r="T122" i="1"/>
  <c r="U121" i="1"/>
  <c r="X122" i="1"/>
  <c r="Y121" i="1"/>
  <c r="V122" i="1"/>
  <c r="W121" i="1"/>
  <c r="Z122" i="1"/>
  <c r="AA121" i="1"/>
  <c r="AI121" i="1"/>
  <c r="AJ120" i="1"/>
  <c r="AN119" i="1"/>
  <c r="AM120" i="1"/>
  <c r="AK120" i="1"/>
  <c r="AL119" i="1"/>
  <c r="Q120" i="1"/>
  <c r="P121" i="1"/>
  <c r="R122" i="1" s="1"/>
  <c r="AC227" i="1" l="1"/>
  <c r="AB228" i="1"/>
  <c r="AG227" i="1"/>
  <c r="AF228" i="1"/>
  <c r="AE227" i="1"/>
  <c r="AD228" i="1"/>
  <c r="Q226" i="1"/>
  <c r="P227" i="1"/>
  <c r="S226" i="1"/>
  <c r="R227" i="1"/>
  <c r="U226" i="1"/>
  <c r="T227" i="1"/>
  <c r="Y226" i="1"/>
  <c r="X227" i="1"/>
  <c r="W226" i="1"/>
  <c r="V227" i="1"/>
  <c r="Z227" i="1"/>
  <c r="AA226" i="1"/>
  <c r="AJ225" i="1"/>
  <c r="AI226" i="1"/>
  <c r="AN225" i="1"/>
  <c r="AM226" i="1"/>
  <c r="AL225" i="1"/>
  <c r="AK226" i="1"/>
  <c r="AC123" i="1"/>
  <c r="AB124" i="1"/>
  <c r="AG123" i="1"/>
  <c r="AF124" i="1"/>
  <c r="AE123" i="1"/>
  <c r="AD124" i="1"/>
  <c r="S122" i="1"/>
  <c r="T123" i="1"/>
  <c r="U122" i="1"/>
  <c r="X123" i="1"/>
  <c r="Y122" i="1"/>
  <c r="V123" i="1"/>
  <c r="W122" i="1"/>
  <c r="Z123" i="1"/>
  <c r="AA122" i="1"/>
  <c r="AI122" i="1"/>
  <c r="AJ121" i="1"/>
  <c r="AM121" i="1"/>
  <c r="AN120" i="1"/>
  <c r="AK121" i="1"/>
  <c r="AL120" i="1"/>
  <c r="Q121" i="1"/>
  <c r="P122" i="1"/>
  <c r="R123" i="1" s="1"/>
  <c r="AC228" i="1" l="1"/>
  <c r="AB229" i="1"/>
  <c r="AF229" i="1"/>
  <c r="AG228" i="1"/>
  <c r="AD229" i="1"/>
  <c r="AE228" i="1"/>
  <c r="Q227" i="1"/>
  <c r="P228" i="1"/>
  <c r="S227" i="1"/>
  <c r="R228" i="1"/>
  <c r="U227" i="1"/>
  <c r="T228" i="1"/>
  <c r="Y227" i="1"/>
  <c r="X228" i="1"/>
  <c r="W227" i="1"/>
  <c r="V228" i="1"/>
  <c r="Z228" i="1"/>
  <c r="AA227" i="1"/>
  <c r="AI227" i="1"/>
  <c r="AJ226" i="1"/>
  <c r="AN226" i="1"/>
  <c r="AM227" i="1"/>
  <c r="AL226" i="1"/>
  <c r="AK227" i="1"/>
  <c r="AB125" i="1"/>
  <c r="AC124" i="1"/>
  <c r="AF125" i="1"/>
  <c r="AG124" i="1"/>
  <c r="AD125" i="1"/>
  <c r="AE124" i="1"/>
  <c r="S123" i="1"/>
  <c r="T124" i="1"/>
  <c r="U123" i="1"/>
  <c r="X124" i="1"/>
  <c r="Y123" i="1"/>
  <c r="V124" i="1"/>
  <c r="W123" i="1"/>
  <c r="Z124" i="1"/>
  <c r="AA123" i="1"/>
  <c r="AI123" i="1"/>
  <c r="AJ122" i="1"/>
  <c r="AM122" i="1"/>
  <c r="AN121" i="1"/>
  <c r="AK122" i="1"/>
  <c r="AL121" i="1"/>
  <c r="Q122" i="1"/>
  <c r="P123" i="1"/>
  <c r="R124" i="1" s="1"/>
  <c r="AC229" i="1" l="1"/>
  <c r="AB230" i="1"/>
  <c r="AG229" i="1"/>
  <c r="AF230" i="1"/>
  <c r="AE229" i="1"/>
  <c r="AD230" i="1"/>
  <c r="Q228" i="1"/>
  <c r="P229" i="1"/>
  <c r="S228" i="1"/>
  <c r="R229" i="1"/>
  <c r="U228" i="1"/>
  <c r="T229" i="1"/>
  <c r="Y228" i="1"/>
  <c r="X229" i="1"/>
  <c r="W228" i="1"/>
  <c r="V229" i="1"/>
  <c r="Z229" i="1"/>
  <c r="AA228" i="1"/>
  <c r="AJ227" i="1"/>
  <c r="AI228" i="1"/>
  <c r="AN227" i="1"/>
  <c r="AM228" i="1"/>
  <c r="AL227" i="1"/>
  <c r="AK228" i="1"/>
  <c r="AC125" i="1"/>
  <c r="AB126" i="1"/>
  <c r="AF126" i="1"/>
  <c r="AG125" i="1"/>
  <c r="AE125" i="1"/>
  <c r="AD126" i="1"/>
  <c r="S124" i="1"/>
  <c r="T125" i="1"/>
  <c r="U124" i="1"/>
  <c r="X125" i="1"/>
  <c r="Y124" i="1"/>
  <c r="V125" i="1"/>
  <c r="W124" i="1"/>
  <c r="Z125" i="1"/>
  <c r="AA124" i="1"/>
  <c r="AI124" i="1"/>
  <c r="AJ123" i="1"/>
  <c r="AM123" i="1"/>
  <c r="AN122" i="1"/>
  <c r="AK123" i="1"/>
  <c r="AL122" i="1"/>
  <c r="Q123" i="1"/>
  <c r="P124" i="1"/>
  <c r="R125" i="1" s="1"/>
  <c r="AC230" i="1" l="1"/>
  <c r="AB231" i="1"/>
  <c r="AG230" i="1"/>
  <c r="AF231" i="1"/>
  <c r="AE230" i="1"/>
  <c r="AD231" i="1"/>
  <c r="Q229" i="1"/>
  <c r="P230" i="1"/>
  <c r="S229" i="1"/>
  <c r="R230" i="1"/>
  <c r="U229" i="1"/>
  <c r="T230" i="1"/>
  <c r="Y229" i="1"/>
  <c r="X230" i="1"/>
  <c r="W229" i="1"/>
  <c r="V230" i="1"/>
  <c r="AA229" i="1"/>
  <c r="Z230" i="1"/>
  <c r="AJ228" i="1"/>
  <c r="AI229" i="1"/>
  <c r="AM229" i="1"/>
  <c r="AN228" i="1"/>
  <c r="AL228" i="1"/>
  <c r="AK229" i="1"/>
  <c r="AB127" i="1"/>
  <c r="AC126" i="1"/>
  <c r="AG126" i="1"/>
  <c r="AF127" i="1"/>
  <c r="AD127" i="1"/>
  <c r="AE126" i="1"/>
  <c r="S125" i="1"/>
  <c r="T126" i="1"/>
  <c r="U125" i="1"/>
  <c r="X126" i="1"/>
  <c r="Y125" i="1"/>
  <c r="V126" i="1"/>
  <c r="W125" i="1"/>
  <c r="Z126" i="1"/>
  <c r="AA125" i="1"/>
  <c r="AJ124" i="1"/>
  <c r="AI125" i="1"/>
  <c r="AM124" i="1"/>
  <c r="AN123" i="1"/>
  <c r="AK124" i="1"/>
  <c r="AL123" i="1"/>
  <c r="Q124" i="1"/>
  <c r="P125" i="1"/>
  <c r="R126" i="1" s="1"/>
  <c r="AC231" i="1" l="1"/>
  <c r="AB232" i="1"/>
  <c r="AG231" i="1"/>
  <c r="AF232" i="1"/>
  <c r="AE231" i="1"/>
  <c r="AD232" i="1"/>
  <c r="Q230" i="1"/>
  <c r="P231" i="1"/>
  <c r="R231" i="1"/>
  <c r="S230" i="1"/>
  <c r="U230" i="1"/>
  <c r="T231" i="1"/>
  <c r="Y230" i="1"/>
  <c r="X231" i="1"/>
  <c r="W230" i="1"/>
  <c r="V231" i="1"/>
  <c r="AA230" i="1"/>
  <c r="Z231" i="1"/>
  <c r="AJ229" i="1"/>
  <c r="AI230" i="1"/>
  <c r="AN229" i="1"/>
  <c r="AM230" i="1"/>
  <c r="AL229" i="1"/>
  <c r="AK230" i="1"/>
  <c r="AB128" i="1"/>
  <c r="AC127" i="1"/>
  <c r="AG127" i="1"/>
  <c r="AF128" i="1"/>
  <c r="AE127" i="1"/>
  <c r="AD128" i="1"/>
  <c r="S126" i="1"/>
  <c r="T127" i="1"/>
  <c r="U126" i="1"/>
  <c r="X127" i="1"/>
  <c r="Y126" i="1"/>
  <c r="V127" i="1"/>
  <c r="W126" i="1"/>
  <c r="Z127" i="1"/>
  <c r="AA126" i="1"/>
  <c r="AJ125" i="1"/>
  <c r="AI126" i="1"/>
  <c r="AM125" i="1"/>
  <c r="AN124" i="1"/>
  <c r="AL124" i="1"/>
  <c r="AK125" i="1"/>
  <c r="Q125" i="1"/>
  <c r="P126" i="1"/>
  <c r="R127" i="1" s="1"/>
  <c r="AC232" i="1" l="1"/>
  <c r="AB233" i="1"/>
  <c r="AG232" i="1"/>
  <c r="AF233" i="1"/>
  <c r="AE232" i="1"/>
  <c r="AD233" i="1"/>
  <c r="Q231" i="1"/>
  <c r="P232" i="1"/>
  <c r="S231" i="1"/>
  <c r="R232" i="1"/>
  <c r="U231" i="1"/>
  <c r="T232" i="1"/>
  <c r="Y231" i="1"/>
  <c r="X232" i="1"/>
  <c r="W231" i="1"/>
  <c r="V232" i="1"/>
  <c r="AA231" i="1"/>
  <c r="Z232" i="1"/>
  <c r="AJ230" i="1"/>
  <c r="AI231" i="1"/>
  <c r="AN230" i="1"/>
  <c r="AM231" i="1"/>
  <c r="AL230" i="1"/>
  <c r="AK231" i="1"/>
  <c r="AB129" i="1"/>
  <c r="AC128" i="1"/>
  <c r="AG128" i="1"/>
  <c r="AF129" i="1"/>
  <c r="AD129" i="1"/>
  <c r="AE128" i="1"/>
  <c r="S127" i="1"/>
  <c r="T128" i="1"/>
  <c r="U127" i="1"/>
  <c r="X128" i="1"/>
  <c r="Y127" i="1"/>
  <c r="V128" i="1"/>
  <c r="W127" i="1"/>
  <c r="Z128" i="1"/>
  <c r="AA127" i="1"/>
  <c r="AJ126" i="1"/>
  <c r="AI127" i="1"/>
  <c r="AM126" i="1"/>
  <c r="AN125" i="1"/>
  <c r="AL125" i="1"/>
  <c r="AK126" i="1"/>
  <c r="Q126" i="1"/>
  <c r="P127" i="1"/>
  <c r="R128" i="1" s="1"/>
  <c r="AC233" i="1" l="1"/>
  <c r="AB234" i="1"/>
  <c r="AG233" i="1"/>
  <c r="AF234" i="1"/>
  <c r="AE233" i="1"/>
  <c r="AD234" i="1"/>
  <c r="Q232" i="1"/>
  <c r="P233" i="1"/>
  <c r="S232" i="1"/>
  <c r="R233" i="1"/>
  <c r="U232" i="1"/>
  <c r="T233" i="1"/>
  <c r="Y232" i="1"/>
  <c r="X233" i="1"/>
  <c r="W232" i="1"/>
  <c r="V233" i="1"/>
  <c r="AA232" i="1"/>
  <c r="Z233" i="1"/>
  <c r="AJ231" i="1"/>
  <c r="AI232" i="1"/>
  <c r="AN231" i="1"/>
  <c r="AM232" i="1"/>
  <c r="AL231" i="1"/>
  <c r="AK232" i="1"/>
  <c r="AC129" i="1"/>
  <c r="AB130" i="1"/>
  <c r="AG129" i="1"/>
  <c r="AF130" i="1"/>
  <c r="AE129" i="1"/>
  <c r="AD130" i="1"/>
  <c r="S128" i="1"/>
  <c r="T129" i="1"/>
  <c r="U128" i="1"/>
  <c r="X129" i="1"/>
  <c r="Y128" i="1"/>
  <c r="V129" i="1"/>
  <c r="W128" i="1"/>
  <c r="Z129" i="1"/>
  <c r="AA128" i="1"/>
  <c r="AJ127" i="1"/>
  <c r="AI128" i="1"/>
  <c r="AN126" i="1"/>
  <c r="AM127" i="1"/>
  <c r="AL126" i="1"/>
  <c r="AK127" i="1"/>
  <c r="Q127" i="1"/>
  <c r="P128" i="1"/>
  <c r="R129" i="1" s="1"/>
  <c r="AC234" i="1" l="1"/>
  <c r="AB235" i="1"/>
  <c r="AG234" i="1"/>
  <c r="AF235" i="1"/>
  <c r="AD235" i="1"/>
  <c r="AE234" i="1"/>
  <c r="Q233" i="1"/>
  <c r="P234" i="1"/>
  <c r="R234" i="1"/>
  <c r="S233" i="1"/>
  <c r="U233" i="1"/>
  <c r="T234" i="1"/>
  <c r="Y233" i="1"/>
  <c r="X234" i="1"/>
  <c r="W233" i="1"/>
  <c r="V234" i="1"/>
  <c r="AA233" i="1"/>
  <c r="Z234" i="1"/>
  <c r="AJ232" i="1"/>
  <c r="AI233" i="1"/>
  <c r="AN232" i="1"/>
  <c r="AM233" i="1"/>
  <c r="AL232" i="1"/>
  <c r="AK233" i="1"/>
  <c r="AC130" i="1"/>
  <c r="AB131" i="1"/>
  <c r="AF131" i="1"/>
  <c r="AG130" i="1"/>
  <c r="AE130" i="1"/>
  <c r="AD131" i="1"/>
  <c r="S129" i="1"/>
  <c r="T130" i="1"/>
  <c r="U129" i="1"/>
  <c r="X130" i="1"/>
  <c r="Y129" i="1"/>
  <c r="V130" i="1"/>
  <c r="W129" i="1"/>
  <c r="Z130" i="1"/>
  <c r="AA129" i="1"/>
  <c r="AJ128" i="1"/>
  <c r="AI129" i="1"/>
  <c r="AN127" i="1"/>
  <c r="AM128" i="1"/>
  <c r="AK128" i="1"/>
  <c r="AL127" i="1"/>
  <c r="Q128" i="1"/>
  <c r="P129" i="1"/>
  <c r="R130" i="1" s="1"/>
  <c r="AC235" i="1" l="1"/>
  <c r="AB236" i="1"/>
  <c r="AG235" i="1"/>
  <c r="AF236" i="1"/>
  <c r="AE235" i="1"/>
  <c r="AD236" i="1"/>
  <c r="Q234" i="1"/>
  <c r="P235" i="1"/>
  <c r="S234" i="1"/>
  <c r="R235" i="1"/>
  <c r="U234" i="1"/>
  <c r="T235" i="1"/>
  <c r="Y234" i="1"/>
  <c r="X235" i="1"/>
  <c r="W234" i="1"/>
  <c r="V235" i="1"/>
  <c r="Z235" i="1"/>
  <c r="AA234" i="1"/>
  <c r="AJ233" i="1"/>
  <c r="AI234" i="1"/>
  <c r="AN233" i="1"/>
  <c r="AM234" i="1"/>
  <c r="AL233" i="1"/>
  <c r="AK234" i="1"/>
  <c r="AB132" i="1"/>
  <c r="AC131" i="1"/>
  <c r="AF132" i="1"/>
  <c r="AG131" i="1"/>
  <c r="AE131" i="1"/>
  <c r="AD132" i="1"/>
  <c r="S130" i="1"/>
  <c r="T131" i="1"/>
  <c r="U130" i="1"/>
  <c r="X131" i="1"/>
  <c r="Y130" i="1"/>
  <c r="V131" i="1"/>
  <c r="W130" i="1"/>
  <c r="Z131" i="1"/>
  <c r="AA130" i="1"/>
  <c r="AJ129" i="1"/>
  <c r="AI130" i="1"/>
  <c r="AM129" i="1"/>
  <c r="AN128" i="1"/>
  <c r="AL128" i="1"/>
  <c r="AK129" i="1"/>
  <c r="Q129" i="1"/>
  <c r="P130" i="1"/>
  <c r="R131" i="1" s="1"/>
  <c r="AC236" i="1" l="1"/>
  <c r="AB237" i="1"/>
  <c r="AG236" i="1"/>
  <c r="AF237" i="1"/>
  <c r="AE236" i="1"/>
  <c r="AD237" i="1"/>
  <c r="Q235" i="1"/>
  <c r="P236" i="1"/>
  <c r="S235" i="1"/>
  <c r="R236" i="1"/>
  <c r="U235" i="1"/>
  <c r="T236" i="1"/>
  <c r="Y235" i="1"/>
  <c r="X236" i="1"/>
  <c r="W235" i="1"/>
  <c r="V236" i="1"/>
  <c r="Z236" i="1"/>
  <c r="AA235" i="1"/>
  <c r="AJ234" i="1"/>
  <c r="AI235" i="1"/>
  <c r="AN234" i="1"/>
  <c r="AM235" i="1"/>
  <c r="AL234" i="1"/>
  <c r="AK235" i="1"/>
  <c r="AC132" i="1"/>
  <c r="AB133" i="1"/>
  <c r="AF133" i="1"/>
  <c r="AG132" i="1"/>
  <c r="AE132" i="1"/>
  <c r="AD133" i="1"/>
  <c r="S131" i="1"/>
  <c r="T132" i="1"/>
  <c r="U131" i="1"/>
  <c r="X132" i="1"/>
  <c r="Y131" i="1"/>
  <c r="V132" i="1"/>
  <c r="W131" i="1"/>
  <c r="Z132" i="1"/>
  <c r="AA131" i="1"/>
  <c r="AJ130" i="1"/>
  <c r="AI131" i="1"/>
  <c r="AN129" i="1"/>
  <c r="AM130" i="1"/>
  <c r="AL129" i="1"/>
  <c r="AK130" i="1"/>
  <c r="Q130" i="1"/>
  <c r="P131" i="1"/>
  <c r="R132" i="1" s="1"/>
  <c r="AC237" i="1" l="1"/>
  <c r="AB238" i="1"/>
  <c r="AF238" i="1"/>
  <c r="AG237" i="1"/>
  <c r="AD238" i="1"/>
  <c r="AE237" i="1"/>
  <c r="Q236" i="1"/>
  <c r="P237" i="1"/>
  <c r="S236" i="1"/>
  <c r="R237" i="1"/>
  <c r="T237" i="1"/>
  <c r="U236" i="1"/>
  <c r="X237" i="1"/>
  <c r="Y236" i="1"/>
  <c r="V237" i="1"/>
  <c r="W236" i="1"/>
  <c r="Z237" i="1"/>
  <c r="AA236" i="1"/>
  <c r="AJ235" i="1"/>
  <c r="AI236" i="1"/>
  <c r="AN235" i="1"/>
  <c r="AM236" i="1"/>
  <c r="AL235" i="1"/>
  <c r="AK236" i="1"/>
  <c r="AB134" i="1"/>
  <c r="AC133" i="1"/>
  <c r="AG133" i="1"/>
  <c r="AF134" i="1"/>
  <c r="AE133" i="1"/>
  <c r="AD134" i="1"/>
  <c r="S132" i="1"/>
  <c r="T133" i="1"/>
  <c r="U132" i="1"/>
  <c r="X133" i="1"/>
  <c r="Y132" i="1"/>
  <c r="V133" i="1"/>
  <c r="W132" i="1"/>
  <c r="Z133" i="1"/>
  <c r="AA132" i="1"/>
  <c r="AJ131" i="1"/>
  <c r="AI132" i="1"/>
  <c r="AN130" i="1"/>
  <c r="AM131" i="1"/>
  <c r="AL130" i="1"/>
  <c r="AK131" i="1"/>
  <c r="Q131" i="1"/>
  <c r="P132" i="1"/>
  <c r="R133" i="1" s="1"/>
  <c r="AC238" i="1" l="1"/>
  <c r="AB239" i="1"/>
  <c r="AG238" i="1"/>
  <c r="AF239" i="1"/>
  <c r="AD239" i="1"/>
  <c r="AE238" i="1"/>
  <c r="Q237" i="1"/>
  <c r="P238" i="1"/>
  <c r="S237" i="1"/>
  <c r="R238" i="1"/>
  <c r="U237" i="1"/>
  <c r="T238" i="1"/>
  <c r="Y237" i="1"/>
  <c r="X238" i="1"/>
  <c r="W237" i="1"/>
  <c r="V238" i="1"/>
  <c r="AA237" i="1"/>
  <c r="Z238" i="1"/>
  <c r="AJ236" i="1"/>
  <c r="AI237" i="1"/>
  <c r="AN236" i="1"/>
  <c r="AM237" i="1"/>
  <c r="AL236" i="1"/>
  <c r="AK237" i="1"/>
  <c r="AC134" i="1"/>
  <c r="AB135" i="1"/>
  <c r="AF135" i="1"/>
  <c r="AG134" i="1"/>
  <c r="AE134" i="1"/>
  <c r="AD135" i="1"/>
  <c r="S133" i="1"/>
  <c r="T134" i="1"/>
  <c r="U133" i="1"/>
  <c r="X134" i="1"/>
  <c r="Y133" i="1"/>
  <c r="V134" i="1"/>
  <c r="W133" i="1"/>
  <c r="Z134" i="1"/>
  <c r="AA133" i="1"/>
  <c r="AI133" i="1"/>
  <c r="AJ132" i="1"/>
  <c r="AN131" i="1"/>
  <c r="AM132" i="1"/>
  <c r="AL131" i="1"/>
  <c r="AK132" i="1"/>
  <c r="Q132" i="1"/>
  <c r="P133" i="1"/>
  <c r="R134" i="1" s="1"/>
  <c r="AC239" i="1" l="1"/>
  <c r="AB240" i="1"/>
  <c r="AF240" i="1"/>
  <c r="AG239" i="1"/>
  <c r="AD240" i="1"/>
  <c r="AE239" i="1"/>
  <c r="Q238" i="1"/>
  <c r="P239" i="1"/>
  <c r="S238" i="1"/>
  <c r="R239" i="1"/>
  <c r="T239" i="1"/>
  <c r="U238" i="1"/>
  <c r="X239" i="1"/>
  <c r="Y238" i="1"/>
  <c r="V239" i="1"/>
  <c r="W238" i="1"/>
  <c r="Z239" i="1"/>
  <c r="AA238" i="1"/>
  <c r="AJ237" i="1"/>
  <c r="AI238" i="1"/>
  <c r="AN237" i="1"/>
  <c r="AM238" i="1"/>
  <c r="AL237" i="1"/>
  <c r="AK238" i="1"/>
  <c r="AC135" i="1"/>
  <c r="AB136" i="1"/>
  <c r="AG135" i="1"/>
  <c r="AF136" i="1"/>
  <c r="AD136" i="1"/>
  <c r="AE135" i="1"/>
  <c r="S134" i="1"/>
  <c r="T135" i="1"/>
  <c r="U134" i="1"/>
  <c r="X135" i="1"/>
  <c r="Y134" i="1"/>
  <c r="V135" i="1"/>
  <c r="W134" i="1"/>
  <c r="Z135" i="1"/>
  <c r="AA134" i="1"/>
  <c r="AI134" i="1"/>
  <c r="AJ133" i="1"/>
  <c r="AM133" i="1"/>
  <c r="AN132" i="1"/>
  <c r="AL132" i="1"/>
  <c r="AK133" i="1"/>
  <c r="Q133" i="1"/>
  <c r="P134" i="1"/>
  <c r="R135" i="1" s="1"/>
  <c r="AC240" i="1" l="1"/>
  <c r="AB241" i="1"/>
  <c r="AF241" i="1"/>
  <c r="AG240" i="1"/>
  <c r="AE240" i="1"/>
  <c r="AD241" i="1"/>
  <c r="P240" i="1"/>
  <c r="Q239" i="1"/>
  <c r="S239" i="1"/>
  <c r="R240" i="1"/>
  <c r="U239" i="1"/>
  <c r="T240" i="1"/>
  <c r="X240" i="1"/>
  <c r="Y239" i="1"/>
  <c r="V240" i="1"/>
  <c r="W239" i="1"/>
  <c r="AA239" i="1"/>
  <c r="Z240" i="1"/>
  <c r="AJ238" i="1"/>
  <c r="AI239" i="1"/>
  <c r="AN238" i="1"/>
  <c r="AM239" i="1"/>
  <c r="AK239" i="1"/>
  <c r="AL238" i="1"/>
  <c r="AC136" i="1"/>
  <c r="AB137" i="1"/>
  <c r="AG136" i="1"/>
  <c r="AF137" i="1"/>
  <c r="AD137" i="1"/>
  <c r="AE136" i="1"/>
  <c r="S135" i="1"/>
  <c r="T136" i="1"/>
  <c r="U135" i="1"/>
  <c r="X136" i="1"/>
  <c r="Y135" i="1"/>
  <c r="V136" i="1"/>
  <c r="W135" i="1"/>
  <c r="Z136" i="1"/>
  <c r="AA135" i="1"/>
  <c r="AJ134" i="1"/>
  <c r="AI135" i="1"/>
  <c r="AM134" i="1"/>
  <c r="AN133" i="1"/>
  <c r="AL133" i="1"/>
  <c r="AK134" i="1"/>
  <c r="Q134" i="1"/>
  <c r="P135" i="1"/>
  <c r="R136" i="1" s="1"/>
  <c r="AC241" i="1" l="1"/>
  <c r="AB242" i="1"/>
  <c r="AF242" i="1"/>
  <c r="AG241" i="1"/>
  <c r="AD242" i="1"/>
  <c r="AE241" i="1"/>
  <c r="Q240" i="1"/>
  <c r="P241" i="1"/>
  <c r="S240" i="1"/>
  <c r="R241" i="1"/>
  <c r="T241" i="1"/>
  <c r="U240" i="1"/>
  <c r="X241" i="1"/>
  <c r="Y240" i="1"/>
  <c r="V241" i="1"/>
  <c r="W240" i="1"/>
  <c r="AA240" i="1"/>
  <c r="Z241" i="1"/>
  <c r="AJ239" i="1"/>
  <c r="AI240" i="1"/>
  <c r="AM240" i="1"/>
  <c r="AN239" i="1"/>
  <c r="AL239" i="1"/>
  <c r="AK240" i="1"/>
  <c r="AC137" i="1"/>
  <c r="AB138" i="1"/>
  <c r="AG137" i="1"/>
  <c r="AF138" i="1"/>
  <c r="AE137" i="1"/>
  <c r="AD138" i="1"/>
  <c r="S136" i="1"/>
  <c r="T137" i="1"/>
  <c r="U136" i="1"/>
  <c r="X137" i="1"/>
  <c r="Y136" i="1"/>
  <c r="V137" i="1"/>
  <c r="W136" i="1"/>
  <c r="Z137" i="1"/>
  <c r="AA136" i="1"/>
  <c r="AJ135" i="1"/>
  <c r="AI136" i="1"/>
  <c r="AN134" i="1"/>
  <c r="AM135" i="1"/>
  <c r="AK135" i="1"/>
  <c r="AL134" i="1"/>
  <c r="Q135" i="1"/>
  <c r="P136" i="1"/>
  <c r="R137" i="1" s="1"/>
  <c r="AB243" i="1" l="1"/>
  <c r="AC242" i="1"/>
  <c r="AF243" i="1"/>
  <c r="AG242" i="1"/>
  <c r="AD243" i="1"/>
  <c r="AE242" i="1"/>
  <c r="Q241" i="1"/>
  <c r="P242" i="1"/>
  <c r="S241" i="1"/>
  <c r="R242" i="1"/>
  <c r="U241" i="1"/>
  <c r="T242" i="1"/>
  <c r="Y241" i="1"/>
  <c r="X242" i="1"/>
  <c r="W241" i="1"/>
  <c r="V242" i="1"/>
  <c r="AA241" i="1"/>
  <c r="Z242" i="1"/>
  <c r="AJ240" i="1"/>
  <c r="AI241" i="1"/>
  <c r="AN240" i="1"/>
  <c r="AM241" i="1"/>
  <c r="AK241" i="1"/>
  <c r="AL240" i="1"/>
  <c r="AC138" i="1"/>
  <c r="AB139" i="1"/>
  <c r="AG138" i="1"/>
  <c r="AF139" i="1"/>
  <c r="AD139" i="1"/>
  <c r="AE138" i="1"/>
  <c r="S137" i="1"/>
  <c r="T138" i="1"/>
  <c r="U137" i="1"/>
  <c r="X138" i="1"/>
  <c r="Y137" i="1"/>
  <c r="V138" i="1"/>
  <c r="W137" i="1"/>
  <c r="Z138" i="1"/>
  <c r="AA137" i="1"/>
  <c r="AJ136" i="1"/>
  <c r="AI137" i="1"/>
  <c r="AM136" i="1"/>
  <c r="AN135" i="1"/>
  <c r="AK136" i="1"/>
  <c r="AL135" i="1"/>
  <c r="Q136" i="1"/>
  <c r="P137" i="1"/>
  <c r="R138" i="1" s="1"/>
  <c r="AC243" i="1" l="1"/>
  <c r="AB244" i="1"/>
  <c r="AF244" i="1"/>
  <c r="AG243" i="1"/>
  <c r="AD244" i="1"/>
  <c r="AE243" i="1"/>
  <c r="P243" i="1"/>
  <c r="Q242" i="1"/>
  <c r="S242" i="1"/>
  <c r="R243" i="1"/>
  <c r="T243" i="1"/>
  <c r="U242" i="1"/>
  <c r="Y242" i="1"/>
  <c r="X243" i="1"/>
  <c r="V243" i="1"/>
  <c r="W242" i="1"/>
  <c r="AA242" i="1"/>
  <c r="Z243" i="1"/>
  <c r="AJ241" i="1"/>
  <c r="AI242" i="1"/>
  <c r="AN241" i="1"/>
  <c r="AM242" i="1"/>
  <c r="AL241" i="1"/>
  <c r="AK242" i="1"/>
  <c r="AC139" i="1"/>
  <c r="AB140" i="1"/>
  <c r="AF140" i="1"/>
  <c r="AG139" i="1"/>
  <c r="AD140" i="1"/>
  <c r="AE139" i="1"/>
  <c r="S138" i="1"/>
  <c r="T139" i="1"/>
  <c r="U138" i="1"/>
  <c r="X139" i="1"/>
  <c r="Y138" i="1"/>
  <c r="V139" i="1"/>
  <c r="W138" i="1"/>
  <c r="Z139" i="1"/>
  <c r="AA138" i="1"/>
  <c r="AI138" i="1"/>
  <c r="AJ137" i="1"/>
  <c r="AN136" i="1"/>
  <c r="AM137" i="1"/>
  <c r="AK137" i="1"/>
  <c r="AL136" i="1"/>
  <c r="Q137" i="1"/>
  <c r="P138" i="1"/>
  <c r="R139" i="1" s="1"/>
  <c r="AC244" i="1" l="1"/>
  <c r="AB245" i="1"/>
  <c r="AF245" i="1"/>
  <c r="AG244" i="1"/>
  <c r="AD245" i="1"/>
  <c r="AE244" i="1"/>
  <c r="Q243" i="1"/>
  <c r="P244" i="1"/>
  <c r="S243" i="1"/>
  <c r="R244" i="1"/>
  <c r="U243" i="1"/>
  <c r="T244" i="1"/>
  <c r="Y243" i="1"/>
  <c r="X244" i="1"/>
  <c r="W243" i="1"/>
  <c r="V244" i="1"/>
  <c r="AA243" i="1"/>
  <c r="Z244" i="1"/>
  <c r="AJ242" i="1"/>
  <c r="AI243" i="1"/>
  <c r="AN242" i="1"/>
  <c r="AM243" i="1"/>
  <c r="AL242" i="1"/>
  <c r="AK243" i="1"/>
  <c r="AB141" i="1"/>
  <c r="AC140" i="1"/>
  <c r="AF141" i="1"/>
  <c r="AG140" i="1"/>
  <c r="AD141" i="1"/>
  <c r="AE140" i="1"/>
  <c r="S139" i="1"/>
  <c r="T140" i="1"/>
  <c r="U139" i="1"/>
  <c r="X140" i="1"/>
  <c r="Y139" i="1"/>
  <c r="V140" i="1"/>
  <c r="W139" i="1"/>
  <c r="Z140" i="1"/>
  <c r="AA139" i="1"/>
  <c r="AI139" i="1"/>
  <c r="AJ138" i="1"/>
  <c r="AN137" i="1"/>
  <c r="AM138" i="1"/>
  <c r="AK138" i="1"/>
  <c r="AL137" i="1"/>
  <c r="Q138" i="1"/>
  <c r="P139" i="1"/>
  <c r="R140" i="1" s="1"/>
  <c r="AC245" i="1" l="1"/>
  <c r="AB246" i="1"/>
  <c r="AG245" i="1"/>
  <c r="AF246" i="1"/>
  <c r="AE245" i="1"/>
  <c r="AD246" i="1"/>
  <c r="Q244" i="1"/>
  <c r="P245" i="1"/>
  <c r="S244" i="1"/>
  <c r="R245" i="1"/>
  <c r="U244" i="1"/>
  <c r="T245" i="1"/>
  <c r="X245" i="1"/>
  <c r="Y244" i="1"/>
  <c r="W244" i="1"/>
  <c r="V245" i="1"/>
  <c r="AA244" i="1"/>
  <c r="Z245" i="1"/>
  <c r="AJ243" i="1"/>
  <c r="AI244" i="1"/>
  <c r="AN243" i="1"/>
  <c r="AM244" i="1"/>
  <c r="AL243" i="1"/>
  <c r="AK244" i="1"/>
  <c r="AC141" i="1"/>
  <c r="AB142" i="1"/>
  <c r="AG141" i="1"/>
  <c r="AF142" i="1"/>
  <c r="AD142" i="1"/>
  <c r="AE141" i="1"/>
  <c r="S140" i="1"/>
  <c r="T141" i="1"/>
  <c r="U140" i="1"/>
  <c r="X141" i="1"/>
  <c r="Y140" i="1"/>
  <c r="V141" i="1"/>
  <c r="W140" i="1"/>
  <c r="Z141" i="1"/>
  <c r="AA140" i="1"/>
  <c r="AI140" i="1"/>
  <c r="AJ139" i="1"/>
  <c r="AN138" i="1"/>
  <c r="AM139" i="1"/>
  <c r="AK139" i="1"/>
  <c r="AL138" i="1"/>
  <c r="Q139" i="1"/>
  <c r="P140" i="1"/>
  <c r="R141" i="1" s="1"/>
  <c r="AC246" i="1" l="1"/>
  <c r="AB247" i="1"/>
  <c r="AF247" i="1"/>
  <c r="AG246" i="1"/>
  <c r="AE246" i="1"/>
  <c r="AD247" i="1"/>
  <c r="Q245" i="1"/>
  <c r="P246" i="1"/>
  <c r="S245" i="1"/>
  <c r="R246" i="1"/>
  <c r="T246" i="1"/>
  <c r="U245" i="1"/>
  <c r="Y245" i="1"/>
  <c r="X246" i="1"/>
  <c r="V246" i="1"/>
  <c r="W245" i="1"/>
  <c r="AA245" i="1"/>
  <c r="Z246" i="1"/>
  <c r="AJ244" i="1"/>
  <c r="AI245" i="1"/>
  <c r="AN244" i="1"/>
  <c r="AM245" i="1"/>
  <c r="AL244" i="1"/>
  <c r="AK245" i="1"/>
  <c r="AB143" i="1"/>
  <c r="AC142" i="1"/>
  <c r="AG142" i="1"/>
  <c r="AF143" i="1"/>
  <c r="AD143" i="1"/>
  <c r="AE142" i="1"/>
  <c r="S141" i="1"/>
  <c r="T142" i="1"/>
  <c r="U141" i="1"/>
  <c r="X142" i="1"/>
  <c r="Y141" i="1"/>
  <c r="V142" i="1"/>
  <c r="W141" i="1"/>
  <c r="Z142" i="1"/>
  <c r="AA141" i="1"/>
  <c r="AI141" i="1"/>
  <c r="AJ140" i="1"/>
  <c r="AN139" i="1"/>
  <c r="AM140" i="1"/>
  <c r="AK140" i="1"/>
  <c r="AL139" i="1"/>
  <c r="Q140" i="1"/>
  <c r="P141" i="1"/>
  <c r="R142" i="1" s="1"/>
  <c r="AC247" i="1" l="1"/>
  <c r="AB248" i="1"/>
  <c r="AF248" i="1"/>
  <c r="AG247" i="1"/>
  <c r="AD248" i="1"/>
  <c r="AE247" i="1"/>
  <c r="Q246" i="1"/>
  <c r="P247" i="1"/>
  <c r="S246" i="1"/>
  <c r="R247" i="1"/>
  <c r="U246" i="1"/>
  <c r="T247" i="1"/>
  <c r="X247" i="1"/>
  <c r="Y246" i="1"/>
  <c r="W246" i="1"/>
  <c r="V247" i="1"/>
  <c r="Z247" i="1"/>
  <c r="AA246" i="1"/>
  <c r="AJ245" i="1"/>
  <c r="AI246" i="1"/>
  <c r="AN245" i="1"/>
  <c r="AM246" i="1"/>
  <c r="AL245" i="1"/>
  <c r="AK246" i="1"/>
  <c r="AC143" i="1"/>
  <c r="AB144" i="1"/>
  <c r="AG143" i="1"/>
  <c r="AF144" i="1"/>
  <c r="AE143" i="1"/>
  <c r="AD144" i="1"/>
  <c r="S142" i="1"/>
  <c r="T143" i="1"/>
  <c r="U142" i="1"/>
  <c r="X143" i="1"/>
  <c r="Y142" i="1"/>
  <c r="V143" i="1"/>
  <c r="W142" i="1"/>
  <c r="Z143" i="1"/>
  <c r="AA142" i="1"/>
  <c r="AI142" i="1"/>
  <c r="AJ141" i="1"/>
  <c r="AN140" i="1"/>
  <c r="AM141" i="1"/>
  <c r="AL140" i="1"/>
  <c r="AK141" i="1"/>
  <c r="Q141" i="1"/>
  <c r="P142" i="1"/>
  <c r="R143" i="1" s="1"/>
  <c r="AC248" i="1" l="1"/>
  <c r="AB249" i="1"/>
  <c r="AF249" i="1"/>
  <c r="AG248" i="1"/>
  <c r="AD249" i="1"/>
  <c r="AE248" i="1"/>
  <c r="Q247" i="1"/>
  <c r="P248" i="1"/>
  <c r="S247" i="1"/>
  <c r="R248" i="1"/>
  <c r="U247" i="1"/>
  <c r="T248" i="1"/>
  <c r="Y247" i="1"/>
  <c r="X248" i="1"/>
  <c r="W247" i="1"/>
  <c r="V248" i="1"/>
  <c r="AA247" i="1"/>
  <c r="Z248" i="1"/>
  <c r="AJ246" i="1"/>
  <c r="AI247" i="1"/>
  <c r="AN246" i="1"/>
  <c r="AM247" i="1"/>
  <c r="AL246" i="1"/>
  <c r="AK247" i="1"/>
  <c r="AC144" i="1"/>
  <c r="AB145" i="1"/>
  <c r="AG144" i="1"/>
  <c r="AF145" i="1"/>
  <c r="AD145" i="1"/>
  <c r="AE144" i="1"/>
  <c r="S143" i="1"/>
  <c r="T144" i="1"/>
  <c r="U143" i="1"/>
  <c r="X144" i="1"/>
  <c r="Y143" i="1"/>
  <c r="V144" i="1"/>
  <c r="W143" i="1"/>
  <c r="Z144" i="1"/>
  <c r="AA143" i="1"/>
  <c r="AI143" i="1"/>
  <c r="AJ142" i="1"/>
  <c r="AN141" i="1"/>
  <c r="AM142" i="1"/>
  <c r="AK142" i="1"/>
  <c r="AL141" i="1"/>
  <c r="Q142" i="1"/>
  <c r="P143" i="1"/>
  <c r="R144" i="1" s="1"/>
  <c r="AC249" i="1" l="1"/>
  <c r="AB250" i="1"/>
  <c r="AG249" i="1"/>
  <c r="AF250" i="1"/>
  <c r="AD250" i="1"/>
  <c r="AE249" i="1"/>
  <c r="Q248" i="1"/>
  <c r="P249" i="1"/>
  <c r="S248" i="1"/>
  <c r="R249" i="1"/>
  <c r="U248" i="1"/>
  <c r="T249" i="1"/>
  <c r="Y248" i="1"/>
  <c r="X249" i="1"/>
  <c r="W248" i="1"/>
  <c r="V249" i="1"/>
  <c r="AA248" i="1"/>
  <c r="Z249" i="1"/>
  <c r="AJ247" i="1"/>
  <c r="AI248" i="1"/>
  <c r="AN247" i="1"/>
  <c r="AM248" i="1"/>
  <c r="AL247" i="1"/>
  <c r="AK248" i="1"/>
  <c r="AC145" i="1"/>
  <c r="AB146" i="1"/>
  <c r="AF146" i="1"/>
  <c r="AG145" i="1"/>
  <c r="AE145" i="1"/>
  <c r="AD146" i="1"/>
  <c r="S144" i="1"/>
  <c r="T145" i="1"/>
  <c r="U144" i="1"/>
  <c r="X145" i="1"/>
  <c r="Y144" i="1"/>
  <c r="V145" i="1"/>
  <c r="W144" i="1"/>
  <c r="Z145" i="1"/>
  <c r="AA144" i="1"/>
  <c r="AJ143" i="1"/>
  <c r="AI144" i="1"/>
  <c r="AN142" i="1"/>
  <c r="AM143" i="1"/>
  <c r="AL142" i="1"/>
  <c r="AK143" i="1"/>
  <c r="Q143" i="1"/>
  <c r="P144" i="1"/>
  <c r="R145" i="1" s="1"/>
  <c r="AC250" i="1" l="1"/>
  <c r="AB251" i="1"/>
  <c r="AF251" i="1"/>
  <c r="AG250" i="1"/>
  <c r="AD251" i="1"/>
  <c r="AE250" i="1"/>
  <c r="Q249" i="1"/>
  <c r="P250" i="1"/>
  <c r="S249" i="1"/>
  <c r="R250" i="1"/>
  <c r="U249" i="1"/>
  <c r="T250" i="1"/>
  <c r="Y249" i="1"/>
  <c r="X250" i="1"/>
  <c r="W249" i="1"/>
  <c r="V250" i="1"/>
  <c r="AA249" i="1"/>
  <c r="Z250" i="1"/>
  <c r="AJ248" i="1"/>
  <c r="AI249" i="1"/>
  <c r="AN248" i="1"/>
  <c r="AM249" i="1"/>
  <c r="AL248" i="1"/>
  <c r="AK249" i="1"/>
  <c r="AB147" i="1"/>
  <c r="AC146" i="1"/>
  <c r="AG146" i="1"/>
  <c r="AF147" i="1"/>
  <c r="AE146" i="1"/>
  <c r="AD147" i="1"/>
  <c r="S145" i="1"/>
  <c r="T146" i="1"/>
  <c r="U145" i="1"/>
  <c r="X146" i="1"/>
  <c r="Y145" i="1"/>
  <c r="V146" i="1"/>
  <c r="W145" i="1"/>
  <c r="Z146" i="1"/>
  <c r="AA145" i="1"/>
  <c r="AI145" i="1"/>
  <c r="AJ144" i="1"/>
  <c r="AM144" i="1"/>
  <c r="AN143" i="1"/>
  <c r="AK144" i="1"/>
  <c r="AL143" i="1"/>
  <c r="Q144" i="1"/>
  <c r="P145" i="1"/>
  <c r="R146" i="1" s="1"/>
  <c r="AC251" i="1" l="1"/>
  <c r="AB252" i="1"/>
  <c r="AF252" i="1"/>
  <c r="AG251" i="1"/>
  <c r="AE251" i="1"/>
  <c r="AD252" i="1"/>
  <c r="Q250" i="1"/>
  <c r="P251" i="1"/>
  <c r="S250" i="1"/>
  <c r="R251" i="1"/>
  <c r="U250" i="1"/>
  <c r="T251" i="1"/>
  <c r="Y250" i="1"/>
  <c r="X251" i="1"/>
  <c r="W250" i="1"/>
  <c r="V251" i="1"/>
  <c r="AA250" i="1"/>
  <c r="Z251" i="1"/>
  <c r="AJ249" i="1"/>
  <c r="AI250" i="1"/>
  <c r="AN249" i="1"/>
  <c r="AM250" i="1"/>
  <c r="AL249" i="1"/>
  <c r="AK250" i="1"/>
  <c r="AC147" i="1"/>
  <c r="AB148" i="1"/>
  <c r="AG147" i="1"/>
  <c r="AF148" i="1"/>
  <c r="AE147" i="1"/>
  <c r="AD148" i="1"/>
  <c r="S146" i="1"/>
  <c r="T147" i="1"/>
  <c r="U146" i="1"/>
  <c r="X147" i="1"/>
  <c r="Y146" i="1"/>
  <c r="V147" i="1"/>
  <c r="W146" i="1"/>
  <c r="Z147" i="1"/>
  <c r="AA146" i="1"/>
  <c r="AJ145" i="1"/>
  <c r="AI146" i="1"/>
  <c r="AM145" i="1"/>
  <c r="AN144" i="1"/>
  <c r="AL144" i="1"/>
  <c r="AK145" i="1"/>
  <c r="Q145" i="1"/>
  <c r="P146" i="1"/>
  <c r="R147" i="1" s="1"/>
  <c r="AC252" i="1" l="1"/>
  <c r="AB253" i="1"/>
  <c r="AF253" i="1"/>
  <c r="AG252" i="1"/>
  <c r="AE252" i="1"/>
  <c r="AD253" i="1"/>
  <c r="Q251" i="1"/>
  <c r="P252" i="1"/>
  <c r="S251" i="1"/>
  <c r="R252" i="1"/>
  <c r="U251" i="1"/>
  <c r="T252" i="1"/>
  <c r="Y251" i="1"/>
  <c r="X252" i="1"/>
  <c r="W251" i="1"/>
  <c r="V252" i="1"/>
  <c r="AA251" i="1"/>
  <c r="Z252" i="1"/>
  <c r="AJ250" i="1"/>
  <c r="AI251" i="1"/>
  <c r="AN250" i="1"/>
  <c r="AM251" i="1"/>
  <c r="AL250" i="1"/>
  <c r="AK251" i="1"/>
  <c r="AB149" i="1"/>
  <c r="AC148" i="1"/>
  <c r="AG148" i="1"/>
  <c r="AF149" i="1"/>
  <c r="AE148" i="1"/>
  <c r="AD149" i="1"/>
  <c r="S147" i="1"/>
  <c r="T148" i="1"/>
  <c r="U147" i="1"/>
  <c r="X148" i="1"/>
  <c r="Y147" i="1"/>
  <c r="V148" i="1"/>
  <c r="W147" i="1"/>
  <c r="Z148" i="1"/>
  <c r="AA147" i="1"/>
  <c r="AJ146" i="1"/>
  <c r="AI147" i="1"/>
  <c r="AM146" i="1"/>
  <c r="AN145" i="1"/>
  <c r="AL145" i="1"/>
  <c r="AK146" i="1"/>
  <c r="Q146" i="1"/>
  <c r="P147" i="1"/>
  <c r="R148" i="1" s="1"/>
  <c r="AC253" i="1" l="1"/>
  <c r="AB254" i="1"/>
  <c r="AF254" i="1"/>
  <c r="AG253" i="1"/>
  <c r="AE253" i="1"/>
  <c r="AD254" i="1"/>
  <c r="Q252" i="1"/>
  <c r="P253" i="1"/>
  <c r="S252" i="1"/>
  <c r="R253" i="1"/>
  <c r="U252" i="1"/>
  <c r="T253" i="1"/>
  <c r="Y252" i="1"/>
  <c r="X253" i="1"/>
  <c r="W252" i="1"/>
  <c r="V253" i="1"/>
  <c r="AA252" i="1"/>
  <c r="Z253" i="1"/>
  <c r="AJ251" i="1"/>
  <c r="AI252" i="1"/>
  <c r="AN251" i="1"/>
  <c r="AM252" i="1"/>
  <c r="AK252" i="1"/>
  <c r="AL251" i="1"/>
  <c r="AC149" i="1"/>
  <c r="AB150" i="1"/>
  <c r="AC150" i="1" s="1"/>
  <c r="H23" i="1" s="1"/>
  <c r="AG149" i="1"/>
  <c r="AF150" i="1"/>
  <c r="AG150" i="1" s="1"/>
  <c r="J23" i="1" s="1"/>
  <c r="AD150" i="1"/>
  <c r="AE150" i="1" s="1"/>
  <c r="I23" i="1" s="1"/>
  <c r="AE149" i="1"/>
  <c r="S148" i="1"/>
  <c r="T149" i="1"/>
  <c r="U148" i="1"/>
  <c r="X149" i="1"/>
  <c r="Y148" i="1"/>
  <c r="V149" i="1"/>
  <c r="W148" i="1"/>
  <c r="Z149" i="1"/>
  <c r="AA148" i="1"/>
  <c r="AI148" i="1"/>
  <c r="AJ147" i="1"/>
  <c r="AM147" i="1"/>
  <c r="AN146" i="1"/>
  <c r="AL146" i="1"/>
  <c r="AK147" i="1"/>
  <c r="Q147" i="1"/>
  <c r="P148" i="1"/>
  <c r="R149" i="1" s="1"/>
  <c r="AB255" i="1" l="1"/>
  <c r="AC255" i="1" s="1"/>
  <c r="H22" i="1" s="1"/>
  <c r="AC254" i="1"/>
  <c r="AF255" i="1"/>
  <c r="AG255" i="1" s="1"/>
  <c r="J22" i="1" s="1"/>
  <c r="AG254" i="1"/>
  <c r="AE254" i="1"/>
  <c r="AD255" i="1"/>
  <c r="AE255" i="1" s="1"/>
  <c r="I22" i="1" s="1"/>
  <c r="Q253" i="1"/>
  <c r="P254" i="1"/>
  <c r="R254" i="1"/>
  <c r="S253" i="1"/>
  <c r="U253" i="1"/>
  <c r="T254" i="1"/>
  <c r="Y253" i="1"/>
  <c r="X254" i="1"/>
  <c r="W253" i="1"/>
  <c r="V254" i="1"/>
  <c r="AA253" i="1"/>
  <c r="Z254" i="1"/>
  <c r="AJ252" i="1"/>
  <c r="AI253" i="1"/>
  <c r="AN252" i="1"/>
  <c r="AM253" i="1"/>
  <c r="AL252" i="1"/>
  <c r="AK253" i="1"/>
  <c r="H25" i="1"/>
  <c r="H27" i="1" s="1"/>
  <c r="H24" i="1"/>
  <c r="J24" i="1"/>
  <c r="J25" i="1"/>
  <c r="J27" i="1" s="1"/>
  <c r="N120" i="1" s="1"/>
  <c r="I25" i="1"/>
  <c r="I27" i="1" s="1"/>
  <c r="M120" i="1" s="1"/>
  <c r="I24" i="1"/>
  <c r="S149" i="1"/>
  <c r="T150" i="1"/>
  <c r="U150" i="1" s="1"/>
  <c r="D23" i="1" s="1"/>
  <c r="U149" i="1"/>
  <c r="X150" i="1"/>
  <c r="Y150" i="1" s="1"/>
  <c r="F23" i="1" s="1"/>
  <c r="Y149" i="1"/>
  <c r="V150" i="1"/>
  <c r="W150" i="1" s="1"/>
  <c r="E23" i="1" s="1"/>
  <c r="W149" i="1"/>
  <c r="Z150" i="1"/>
  <c r="AA150" i="1" s="1"/>
  <c r="G23" i="1" s="1"/>
  <c r="AA149" i="1"/>
  <c r="AI149" i="1"/>
  <c r="AJ148" i="1"/>
  <c r="AN147" i="1"/>
  <c r="AM148" i="1"/>
  <c r="AL147" i="1"/>
  <c r="AK148" i="1"/>
  <c r="Q148" i="1"/>
  <c r="P149" i="1"/>
  <c r="R150" i="1" s="1"/>
  <c r="S150" i="1" s="1"/>
  <c r="C23" i="1" s="1"/>
  <c r="H26" i="1" l="1"/>
  <c r="Q254" i="1"/>
  <c r="P255" i="1"/>
  <c r="Q255" i="1" s="1"/>
  <c r="B22" i="1" s="1"/>
  <c r="S254" i="1"/>
  <c r="R255" i="1"/>
  <c r="S255" i="1" s="1"/>
  <c r="C22" i="1" s="1"/>
  <c r="U254" i="1"/>
  <c r="T255" i="1"/>
  <c r="U255" i="1" s="1"/>
  <c r="D22" i="1" s="1"/>
  <c r="Y254" i="1"/>
  <c r="X255" i="1"/>
  <c r="Y255" i="1" s="1"/>
  <c r="F22" i="1" s="1"/>
  <c r="W254" i="1"/>
  <c r="V255" i="1"/>
  <c r="W255" i="1" s="1"/>
  <c r="E22" i="1" s="1"/>
  <c r="AA254" i="1"/>
  <c r="Z255" i="1"/>
  <c r="AA255" i="1" s="1"/>
  <c r="G22" i="1" s="1"/>
  <c r="AJ253" i="1"/>
  <c r="AI254" i="1"/>
  <c r="AN253" i="1"/>
  <c r="AM254" i="1"/>
  <c r="AK254" i="1"/>
  <c r="AL253" i="1"/>
  <c r="J26" i="1"/>
  <c r="I26" i="1"/>
  <c r="L120" i="1"/>
  <c r="H120" i="1"/>
  <c r="C24" i="1"/>
  <c r="C25" i="1"/>
  <c r="C27" i="1" s="1"/>
  <c r="D25" i="1"/>
  <c r="D27" i="1" s="1"/>
  <c r="D24" i="1"/>
  <c r="F25" i="1"/>
  <c r="F27" i="1" s="1"/>
  <c r="F24" i="1"/>
  <c r="E25" i="1"/>
  <c r="E27" i="1" s="1"/>
  <c r="E120" i="1" s="1"/>
  <c r="E24" i="1"/>
  <c r="G25" i="1"/>
  <c r="G27" i="1" s="1"/>
  <c r="G24" i="1"/>
  <c r="AJ149" i="1"/>
  <c r="AI150" i="1"/>
  <c r="AJ150" i="1" s="1"/>
  <c r="L23" i="1" s="1"/>
  <c r="AM149" i="1"/>
  <c r="AN148" i="1"/>
  <c r="AL148" i="1"/>
  <c r="AK149" i="1"/>
  <c r="Q149" i="1"/>
  <c r="P150" i="1"/>
  <c r="Q150" i="1" s="1"/>
  <c r="B23" i="1" s="1"/>
  <c r="C26" i="1" l="1"/>
  <c r="D26" i="1"/>
  <c r="F26" i="1"/>
  <c r="E26" i="1"/>
  <c r="G26" i="1"/>
  <c r="AJ254" i="1"/>
  <c r="AI255" i="1"/>
  <c r="AJ255" i="1" s="1"/>
  <c r="L22" i="1" s="1"/>
  <c r="AN254" i="1"/>
  <c r="AM255" i="1"/>
  <c r="AN255" i="1" s="1"/>
  <c r="N22" i="1" s="1"/>
  <c r="AK255" i="1"/>
  <c r="AL255" i="1" s="1"/>
  <c r="M22" i="1" s="1"/>
  <c r="AL254" i="1"/>
  <c r="B24" i="1"/>
  <c r="B26" i="1" s="1"/>
  <c r="L24" i="1"/>
  <c r="L25" i="1"/>
  <c r="L27" i="1" s="1"/>
  <c r="AN149" i="1"/>
  <c r="AM150" i="1"/>
  <c r="AN150" i="1" s="1"/>
  <c r="N23" i="1" s="1"/>
  <c r="AL149" i="1"/>
  <c r="AK150" i="1"/>
  <c r="AL150" i="1" s="1"/>
  <c r="M23" i="1" s="1"/>
  <c r="B25" i="1"/>
  <c r="B27" i="1" s="1"/>
  <c r="L26" i="1" l="1"/>
  <c r="N25" i="1"/>
  <c r="N27" i="1" s="1"/>
  <c r="N24" i="1"/>
  <c r="N26" i="1" s="1"/>
  <c r="M24" i="1"/>
  <c r="M26" i="1" s="1"/>
  <c r="M25" i="1"/>
  <c r="M27" i="1" s="1"/>
  <c r="B120" i="1"/>
</calcChain>
</file>

<file path=xl/sharedStrings.xml><?xml version="1.0" encoding="utf-8"?>
<sst xmlns="http://schemas.openxmlformats.org/spreadsheetml/2006/main" count="264" uniqueCount="155">
  <si>
    <t xml:space="preserve">Estabulación </t>
  </si>
  <si>
    <t>Pastoreo</t>
  </si>
  <si>
    <t xml:space="preserve">Cebuínos </t>
  </si>
  <si>
    <t>GMD</t>
  </si>
  <si>
    <t>GMD2</t>
  </si>
  <si>
    <t>SISTEMAS DE PRODUCCIÓN</t>
  </si>
  <si>
    <t>PCM</t>
  </si>
  <si>
    <t>PCMET</t>
  </si>
  <si>
    <t>PCI</t>
  </si>
  <si>
    <t>PCF</t>
  </si>
  <si>
    <t>PCA</t>
  </si>
  <si>
    <t>PCVC</t>
  </si>
  <si>
    <t>GMDCVC</t>
  </si>
  <si>
    <t>PCVCeq</t>
  </si>
  <si>
    <t>PCmad</t>
  </si>
  <si>
    <t>CMS (Kg/d)</t>
  </si>
  <si>
    <t>ELm (Mcal/d)</t>
  </si>
  <si>
    <t>ELg (Mcal/d)</t>
  </si>
  <si>
    <t>ELt (Mcal/d)</t>
  </si>
  <si>
    <t>ERpro</t>
  </si>
  <si>
    <t>kg</t>
  </si>
  <si>
    <t>km</t>
  </si>
  <si>
    <t>EMg (Mcal/d)</t>
  </si>
  <si>
    <t>EMm (Mcal/d)</t>
  </si>
  <si>
    <t>NDT (kg/día)</t>
  </si>
  <si>
    <t>ED (Mcal/d)</t>
  </si>
  <si>
    <t>Cz. carne</t>
  </si>
  <si>
    <t>Cz. leche</t>
  </si>
  <si>
    <t>Entero</t>
  </si>
  <si>
    <t>Castrado</t>
  </si>
  <si>
    <t>Hembra</t>
  </si>
  <si>
    <t xml:space="preserve">PCVCeq </t>
  </si>
  <si>
    <t>EMt (Mcal/d)</t>
  </si>
  <si>
    <t>PMm (g/d)</t>
  </si>
  <si>
    <t>PLg (g/d)</t>
  </si>
  <si>
    <t>PMg (g/d) PCA&lt;340 kg</t>
  </si>
  <si>
    <t>PMT (g/d) PCA&lt;340 kg</t>
  </si>
  <si>
    <t>PMg (g/d) PCA&gt;340 kg</t>
  </si>
  <si>
    <t>PMT (g/d) PCA&gt;340 kg</t>
  </si>
  <si>
    <t>ANIMALES EN PASTOREO - ENERGIA</t>
  </si>
  <si>
    <t>ANIMALES EN ESTABULACIÓN - ENERGIA</t>
  </si>
  <si>
    <t>ANIMALES EN ESTABULACIÓN - PROTEÍNA</t>
  </si>
  <si>
    <t>ANIAMLES EN PASTOREO - PROTEÍNA</t>
  </si>
  <si>
    <t>K</t>
  </si>
  <si>
    <t>PCA &lt;340 kg</t>
  </si>
  <si>
    <t>PCA &gt;340 kg</t>
  </si>
  <si>
    <r>
      <t>PCA &gt;</t>
    </r>
    <r>
      <rPr>
        <sz val="11"/>
        <color theme="1"/>
        <rFont val="Aptos Narrow"/>
        <family val="2"/>
        <scheme val="minor"/>
      </rPr>
      <t>340 kg</t>
    </r>
  </si>
  <si>
    <r>
      <t xml:space="preserve">PCA </t>
    </r>
    <r>
      <rPr>
        <sz val="11"/>
        <color theme="1"/>
        <rFont val="Aptos Narrow"/>
        <family val="2"/>
        <scheme val="minor"/>
      </rPr>
      <t>&lt;340 kg</t>
    </r>
  </si>
  <si>
    <t>PNDR (g/d) PCA&lt;340 kg</t>
  </si>
  <si>
    <t>PNDR (g/d) PCA&gt;340 kg</t>
  </si>
  <si>
    <t>PB (g/d)  PCA&lt;340 kg</t>
  </si>
  <si>
    <t>PB (g/d)  PCA&gt;340 kg</t>
  </si>
  <si>
    <t>CaLm (g/d)</t>
  </si>
  <si>
    <t>CR (%)</t>
  </si>
  <si>
    <t>k (%)</t>
  </si>
  <si>
    <t>CaLg (g/d)</t>
  </si>
  <si>
    <t>CaLT (g/d)</t>
  </si>
  <si>
    <t>CaDm (g/d)</t>
  </si>
  <si>
    <t>CaDT (g/d)</t>
  </si>
  <si>
    <t>CaDg (g/d)</t>
  </si>
  <si>
    <t>Ca</t>
  </si>
  <si>
    <t>P</t>
  </si>
  <si>
    <t>P-Lm (g/d)</t>
  </si>
  <si>
    <t>P-Lg (g/d)</t>
  </si>
  <si>
    <t>P-LT (g/d)</t>
  </si>
  <si>
    <t>P-Dm (g/d)</t>
  </si>
  <si>
    <t>P-Dg (g/d)</t>
  </si>
  <si>
    <t>P-DT (g/d)</t>
  </si>
  <si>
    <t>Relación Ca/P</t>
  </si>
  <si>
    <t>Mg</t>
  </si>
  <si>
    <t>MgLm (g/d)</t>
  </si>
  <si>
    <t>MgLg (g/d)</t>
  </si>
  <si>
    <t>MgLT (g/d)</t>
  </si>
  <si>
    <t>MgDm (g/d)</t>
  </si>
  <si>
    <t>MgDg (g/d)</t>
  </si>
  <si>
    <t>MgDT (g/d)</t>
  </si>
  <si>
    <t>Na</t>
  </si>
  <si>
    <t>NaLm (g/d)</t>
  </si>
  <si>
    <t>NaLg (g/d)</t>
  </si>
  <si>
    <t>NaLT (g/d)</t>
  </si>
  <si>
    <t>NaDm (g/d)</t>
  </si>
  <si>
    <t>NaDg (g/d)</t>
  </si>
  <si>
    <t>NaDT (g/d)</t>
  </si>
  <si>
    <t>S</t>
  </si>
  <si>
    <t>KLm (g/d)</t>
  </si>
  <si>
    <t>KLT (g/d)</t>
  </si>
  <si>
    <t>KLg (g/d)</t>
  </si>
  <si>
    <t>KDm (g/d)</t>
  </si>
  <si>
    <t>KDg (g/d)</t>
  </si>
  <si>
    <t>KDT (g/d)</t>
  </si>
  <si>
    <t>SLm (g/d)</t>
  </si>
  <si>
    <t>SLg (g/d)</t>
  </si>
  <si>
    <t>SLT (g/d)</t>
  </si>
  <si>
    <t>SDm (g/d)</t>
  </si>
  <si>
    <t>SDg (g/d)</t>
  </si>
  <si>
    <t>SDT (g/d)</t>
  </si>
  <si>
    <t>Cu</t>
  </si>
  <si>
    <t>Fe</t>
  </si>
  <si>
    <t>Mn</t>
  </si>
  <si>
    <t>Se</t>
  </si>
  <si>
    <t>Zn</t>
  </si>
  <si>
    <t>Co</t>
  </si>
  <si>
    <t>CuLm (mg/d)</t>
  </si>
  <si>
    <t>CuLg (mg/d)</t>
  </si>
  <si>
    <t>CuLT (mg/d)</t>
  </si>
  <si>
    <t>CuDm (mg/d)</t>
  </si>
  <si>
    <t>CuDg (mg/d)</t>
  </si>
  <si>
    <t>CuDT (mg/d)</t>
  </si>
  <si>
    <t>CoLm (mg/d)</t>
  </si>
  <si>
    <t>CoLg (mg/d)</t>
  </si>
  <si>
    <t>CoLT (mg/d)</t>
  </si>
  <si>
    <t>CoDm (mg/d)</t>
  </si>
  <si>
    <t>CoDg (mg/d)</t>
  </si>
  <si>
    <t>CoDT (mg/d)</t>
  </si>
  <si>
    <t>FeLm (mg/d)</t>
  </si>
  <si>
    <t>FeLg (mg/d)</t>
  </si>
  <si>
    <t>FeLT (mg/d)</t>
  </si>
  <si>
    <t>FeDm (mg/d)</t>
  </si>
  <si>
    <t>FeDg (mg/d)</t>
  </si>
  <si>
    <t>FeDT (mg/d)</t>
  </si>
  <si>
    <t>MnLm (mg/d)</t>
  </si>
  <si>
    <t>MnLg (mg/d)</t>
  </si>
  <si>
    <t>MnLT (mg/d)</t>
  </si>
  <si>
    <t>MnDm (mg/d)</t>
  </si>
  <si>
    <t>MnDg (mg/d)</t>
  </si>
  <si>
    <t>MnDT (mg/d)</t>
  </si>
  <si>
    <t>SeLm (mg/d)</t>
  </si>
  <si>
    <t>SeLg (mg/d)</t>
  </si>
  <si>
    <t>SeLT (mg/d)</t>
  </si>
  <si>
    <t>SeDm (mg/d)</t>
  </si>
  <si>
    <t>SeDg (mg/d)</t>
  </si>
  <si>
    <t>SeDT (mg/d)</t>
  </si>
  <si>
    <t>ANIMALES EN PASTOREO Y ESTABULACIÓN - MINERALES</t>
  </si>
  <si>
    <t>ZnLm (mg/d)</t>
  </si>
  <si>
    <t>ZnLg (mg/d)</t>
  </si>
  <si>
    <t>ZnLT (mg/d)</t>
  </si>
  <si>
    <t>ZnDm (mg/d)</t>
  </si>
  <si>
    <t>ZnDg (mg/d)</t>
  </si>
  <si>
    <t>ZnDT (mg/d)</t>
  </si>
  <si>
    <t>IDT (mg/d)</t>
  </si>
  <si>
    <t>FDN (Kg/d)</t>
  </si>
  <si>
    <t>EE (Kg/d)</t>
  </si>
  <si>
    <t>CNF (Kg/d)</t>
  </si>
  <si>
    <t>Cebuínos</t>
  </si>
  <si>
    <t>Cz. Carne</t>
  </si>
  <si>
    <t>Cz. Leche</t>
  </si>
  <si>
    <t>Cr. Leche</t>
  </si>
  <si>
    <t>PDR ó PBmic (g/d) &gt;340 kg</t>
  </si>
  <si>
    <t>ANIMALES EN ESTABULACIÓN - PROTEÍNA MICROBIANA (&gt;340 kg)</t>
  </si>
  <si>
    <t>ANIMALES EN PASTOREO - PROTEÍNA MICROBIANA (&gt;340 kg)</t>
  </si>
  <si>
    <t>ANIMALES EN PASTOREO - PROTEÍNA MICROBIANA (&lt;340 kg)</t>
  </si>
  <si>
    <t>ANIMALES EN ESTABULACIÓN - PROTEÍNA MICROBIANA (&lt;340 kg)</t>
  </si>
  <si>
    <t>CONS. AGUA (L)</t>
  </si>
  <si>
    <t>T.MAX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</si>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</sst>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4" borderId="5" xfId="0" applyNumberForma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8" xfId="0" applyNumberFormat="1" applyFill="1" applyBorder="1" applyAlignment="1">
      <alignment horizont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0" fontId="4" fillId="0" borderId="0" xfId="0" applyFont="1"/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6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0" fillId="3" borderId="9" xfId="0" applyNumberFormat="1" applyFill="1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2" fontId="0" fillId="4" borderId="5" xfId="0" applyNumberFormat="1" applyFill="1" applyBorder="1" applyAlignment="1">
      <alignment horizontal="left" vertical="center"/>
    </xf>
    <xf numFmtId="2" fontId="0" fillId="3" borderId="5" xfId="0" applyNumberFormat="1" applyFill="1" applyBorder="1" applyAlignment="1">
      <alignment horizontal="left" vertical="center"/>
    </xf>
    <xf numFmtId="2" fontId="0" fillId="3" borderId="10" xfId="0" applyNumberFormat="1" applyFill="1" applyBorder="1" applyAlignment="1">
      <alignment horizontal="left" vertical="center"/>
    </xf>
    <xf numFmtId="2" fontId="0" fillId="0" borderId="9" xfId="0" applyNumberForma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2" fontId="0" fillId="4" borderId="11" xfId="0" applyNumberFormat="1" applyFill="1" applyBorder="1" applyAlignment="1">
      <alignment horizontal="left" vertical="center"/>
    </xf>
    <xf numFmtId="2" fontId="0" fillId="3" borderId="11" xfId="0" applyNumberFormat="1" applyFill="1" applyBorder="1" applyAlignment="1">
      <alignment horizontal="left" vertical="center"/>
    </xf>
    <xf numFmtId="2" fontId="0" fillId="3" borderId="15" xfId="0" applyNumberFormat="1" applyFill="1" applyBorder="1" applyAlignment="1">
      <alignment horizontal="left" vertical="center"/>
    </xf>
    <xf numFmtId="2" fontId="0" fillId="0" borderId="13" xfId="0" applyNumberFormat="1" applyBorder="1" applyAlignment="1">
      <alignment horizontal="left" vertical="center"/>
    </xf>
    <xf numFmtId="2" fontId="0" fillId="4" borderId="10" xfId="0" applyNumberFormat="1" applyFill="1" applyBorder="1" applyAlignment="1">
      <alignment horizontal="left" vertical="center"/>
    </xf>
    <xf numFmtId="2" fontId="1" fillId="3" borderId="7" xfId="0" applyNumberFormat="1" applyFon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left" vertical="center"/>
    </xf>
    <xf numFmtId="2" fontId="0" fillId="0" borderId="1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2" fillId="6" borderId="9" xfId="0" applyNumberFormat="1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2" fontId="2" fillId="6" borderId="12" xfId="0" applyNumberFormat="1" applyFon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1" fillId="6" borderId="6" xfId="0" applyNumberFormat="1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2" fontId="1" fillId="6" borderId="7" xfId="0" applyNumberFormat="1" applyFon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2" fillId="6" borderId="6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2" fontId="2" fillId="6" borderId="7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2" fillId="5" borderId="6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5" borderId="7" xfId="0" applyNumberFormat="1" applyFon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5DDB-6783-41CF-A41C-80A1A6D62848}">
  <dimension ref="A1:AN255"/>
  <sheetViews>
    <sheetView tabSelected="1" zoomScale="70" zoomScaleNormal="70" workbookViewId="0">
      <pane xSplit="1" ySplit="5" topLeftCell="B107" activePane="bottomRight" state="frozen"/>
      <selection pane="topRight" activeCell="B1" sqref="B1"/>
      <selection pane="bottomLeft" activeCell="A6" sqref="A6"/>
      <selection pane="bottomRight" activeCell="W3" sqref="W3"/>
    </sheetView>
  </sheetViews>
  <sheetFormatPr baseColWidth="10" defaultColWidth="10.85546875" defaultRowHeight="15" x14ac:dyDescent="0.25"/>
  <cols>
    <col min="1" max="1" width="22.140625" style="47" bestFit="1" customWidth="1"/>
    <col min="2" max="2" width="9.42578125" style="5" bestFit="1" customWidth="1"/>
    <col min="3" max="3" width="8.28515625" style="5" bestFit="1" customWidth="1"/>
    <col min="4" max="4" width="7.5703125" style="5" bestFit="1" customWidth="1"/>
    <col min="5" max="5" width="7.42578125" style="5" bestFit="1" customWidth="1"/>
    <col min="6" max="6" width="8.28515625" style="5" bestFit="1" customWidth="1"/>
    <col min="7" max="7" width="7.42578125" style="5" bestFit="1" customWidth="1"/>
    <col min="8" max="8" width="8.5703125" style="5" bestFit="1" customWidth="1"/>
    <col min="9" max="9" width="8.28515625" style="5" bestFit="1" customWidth="1"/>
    <col min="10" max="10" width="7.5703125" style="5" bestFit="1" customWidth="1"/>
    <col min="11" max="11" width="3.7109375" style="5" customWidth="1"/>
    <col min="12" max="12" width="8.85546875" style="5" bestFit="1" customWidth="1"/>
    <col min="13" max="13" width="8.42578125" style="5" bestFit="1" customWidth="1"/>
    <col min="14" max="14" width="8.28515625" style="5" bestFit="1" customWidth="1"/>
    <col min="15" max="15" width="5.28515625" style="5" customWidth="1"/>
    <col min="16" max="16" width="10.85546875" style="5" bestFit="1" customWidth="1"/>
    <col min="17" max="17" width="8.42578125" style="5" bestFit="1" customWidth="1"/>
    <col min="18" max="18" width="10.85546875" style="5" bestFit="1" customWidth="1"/>
    <col min="19" max="19" width="8.85546875" style="5" bestFit="1" customWidth="1"/>
    <col min="20" max="20" width="8.42578125" style="5" bestFit="1" customWidth="1"/>
    <col min="21" max="21" width="8.28515625" style="5" bestFit="1" customWidth="1"/>
    <col min="22" max="22" width="8.85546875" style="5" bestFit="1" customWidth="1"/>
    <col min="23" max="23" width="8.42578125" style="5" bestFit="1" customWidth="1"/>
    <col min="24" max="24" width="8.28515625" style="5" bestFit="1" customWidth="1"/>
    <col min="25" max="25" width="10.85546875" style="5" bestFit="1" customWidth="1"/>
    <col min="26" max="26" width="8.42578125" style="5" bestFit="1" customWidth="1"/>
    <col min="27" max="27" width="8.28515625" style="5" bestFit="1" customWidth="1"/>
    <col min="28" max="33" width="10.85546875" style="5"/>
    <col min="34" max="34" width="3.28515625" style="5" customWidth="1"/>
    <col min="35" max="16384" width="10.85546875" style="5"/>
  </cols>
  <sheetData>
    <row r="1" spans="1:27" ht="15.75" thickBot="1" x14ac:dyDescent="0.3"/>
    <row r="2" spans="1:27" s="1" customFormat="1" ht="15.75" thickBot="1" x14ac:dyDescent="0.3">
      <c r="A2" s="48"/>
      <c r="B2" s="124" t="s">
        <v>5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P2" s="3" t="s">
        <v>8</v>
      </c>
      <c r="Q2" s="4" t="s">
        <v>9</v>
      </c>
      <c r="R2" s="4" t="s">
        <v>6</v>
      </c>
      <c r="S2" s="2" t="s">
        <v>7</v>
      </c>
      <c r="T2" s="61" t="s">
        <v>3</v>
      </c>
      <c r="U2" s="2" t="s">
        <v>4</v>
      </c>
      <c r="V2" s="3" t="s">
        <v>153</v>
      </c>
      <c r="W2" s="3" t="s">
        <v>154</v>
      </c>
    </row>
    <row r="3" spans="1:27" ht="15.75" thickBot="1" x14ac:dyDescent="0.3">
      <c r="B3" s="121" t="s">
        <v>0</v>
      </c>
      <c r="C3" s="122"/>
      <c r="D3" s="122"/>
      <c r="E3" s="122"/>
      <c r="F3" s="122"/>
      <c r="G3" s="122"/>
      <c r="H3" s="122"/>
      <c r="I3" s="122"/>
      <c r="J3" s="123"/>
      <c r="L3" s="125" t="s">
        <v>1</v>
      </c>
      <c r="M3" s="126"/>
      <c r="N3" s="127"/>
      <c r="P3" s="6">
        <v>510</v>
      </c>
      <c r="Q3" s="7">
        <v>530</v>
      </c>
      <c r="R3" s="44">
        <f>AVERAGE(P3:Q3)</f>
        <v>520</v>
      </c>
      <c r="S3" s="8">
        <f>(R3^0.75)</f>
        <v>108.8936381109155</v>
      </c>
      <c r="T3" s="62">
        <v>1.5</v>
      </c>
      <c r="U3" s="8">
        <f>(T3*T3)</f>
        <v>2.25</v>
      </c>
      <c r="V3" s="6">
        <v>35</v>
      </c>
      <c r="W3" s="6">
        <v>80</v>
      </c>
    </row>
    <row r="4" spans="1:27" ht="15.75" thickBot="1" x14ac:dyDescent="0.3">
      <c r="B4" s="91" t="s">
        <v>2</v>
      </c>
      <c r="C4" s="110"/>
      <c r="D4" s="110"/>
      <c r="E4" s="91" t="s">
        <v>26</v>
      </c>
      <c r="F4" s="110"/>
      <c r="G4" s="92"/>
      <c r="H4" s="110" t="s">
        <v>27</v>
      </c>
      <c r="I4" s="110"/>
      <c r="J4" s="92"/>
      <c r="L4" s="75" t="s">
        <v>2</v>
      </c>
      <c r="M4" s="77" t="s">
        <v>26</v>
      </c>
      <c r="N4" s="79" t="s">
        <v>27</v>
      </c>
    </row>
    <row r="5" spans="1:27" ht="16.5" thickBot="1" x14ac:dyDescent="0.3">
      <c r="B5" s="22" t="s">
        <v>28</v>
      </c>
      <c r="C5" s="11" t="s">
        <v>29</v>
      </c>
      <c r="D5" s="12" t="s">
        <v>30</v>
      </c>
      <c r="E5" s="22" t="s">
        <v>28</v>
      </c>
      <c r="F5" s="11" t="s">
        <v>29</v>
      </c>
      <c r="G5" s="12" t="s">
        <v>30</v>
      </c>
      <c r="H5" s="22" t="s">
        <v>28</v>
      </c>
      <c r="I5" s="11" t="s">
        <v>29</v>
      </c>
      <c r="J5" s="12" t="s">
        <v>30</v>
      </c>
      <c r="K5" s="13"/>
      <c r="L5" s="76"/>
      <c r="M5" s="78"/>
      <c r="N5" s="80"/>
      <c r="S5" s="43"/>
    </row>
    <row r="6" spans="1:27" ht="15.75" thickBot="1" x14ac:dyDescent="0.3">
      <c r="A6" s="49" t="s">
        <v>15</v>
      </c>
      <c r="B6" s="128">
        <f>(-2.1948+(0.08388*S3)+(3.9328*T3)-(0.903*U3))</f>
        <v>10.806648364743591</v>
      </c>
      <c r="C6" s="129"/>
      <c r="D6" s="130"/>
      <c r="E6" s="128">
        <f>(-0.6273+(0.06453*S3)+(3.871*T3)-(0.614*U3))</f>
        <v>10.824606467297379</v>
      </c>
      <c r="F6" s="129"/>
      <c r="G6" s="130"/>
      <c r="H6" s="128">
        <f>(-2.8836+(0.08435*S3)+(4.5145*T3)-(0.9631*U3))</f>
        <v>10.906353374655723</v>
      </c>
      <c r="I6" s="129"/>
      <c r="J6" s="130"/>
      <c r="K6" s="68"/>
      <c r="L6" s="23">
        <f>(-2.1948+(0.08388*S3)+(3.9328*T3)-(0.903*U3))</f>
        <v>10.806648364743591</v>
      </c>
      <c r="M6" s="23">
        <f>(-0.6273+(0.06453*S3)+(3.871*T3)-(0.614*U3))</f>
        <v>10.824606467297379</v>
      </c>
      <c r="N6" s="63">
        <f>(-2.8836+(0.08435*S3)+(4.5145*T3)-(0.9631*U3))</f>
        <v>10.906353374655723</v>
      </c>
      <c r="P6" s="114" t="s">
        <v>39</v>
      </c>
      <c r="Q6" s="114"/>
      <c r="R6" s="114"/>
      <c r="S6" s="114"/>
      <c r="T6" s="114"/>
      <c r="U6" s="114"/>
      <c r="V6" s="114"/>
      <c r="W6" s="114"/>
    </row>
    <row r="7" spans="1:27" ht="15.75" thickBot="1" x14ac:dyDescent="0.3">
      <c r="A7" s="50" t="s">
        <v>16</v>
      </c>
      <c r="B7" s="13">
        <f>(0.075*S14^0.75)</f>
        <v>7.3287153412414678</v>
      </c>
      <c r="C7" s="5">
        <f>(0.075*V14^0.75)</f>
        <v>7.5041166031299955</v>
      </c>
      <c r="D7" s="14">
        <f>(0.075*Y14^0.75)</f>
        <v>7.5922224233817932</v>
      </c>
      <c r="E7" s="5">
        <f>(0.075*T14^0.75)</f>
        <v>7.3169522180339586</v>
      </c>
      <c r="F7" s="5">
        <f>(0.075*W14^0.75)</f>
        <v>7.4249646782511984</v>
      </c>
      <c r="G7" s="14">
        <f>(0.075*Z14^0.75)</f>
        <v>7.5486477270162595</v>
      </c>
      <c r="H7" s="5">
        <f>(0.075*U14^0.75)</f>
        <v>7.2903343942592169</v>
      </c>
      <c r="I7" s="5">
        <f>(0.075*X14^0.75)</f>
        <v>7.397470335592546</v>
      </c>
      <c r="J7" s="14">
        <f>(0.075*AA14^0.75)</f>
        <v>7.520421679160421</v>
      </c>
      <c r="K7" s="15"/>
      <c r="L7" s="106">
        <f>(0.075*Q8^0.75)</f>
        <v>7.1310242721042316</v>
      </c>
      <c r="M7" s="106"/>
      <c r="N7" s="107"/>
      <c r="P7" s="32" t="s">
        <v>10</v>
      </c>
      <c r="Q7" s="32" t="s">
        <v>11</v>
      </c>
      <c r="R7" s="32" t="s">
        <v>12</v>
      </c>
      <c r="S7" s="32" t="s">
        <v>13</v>
      </c>
      <c r="T7" s="32" t="s">
        <v>14</v>
      </c>
      <c r="U7" s="32" t="s">
        <v>19</v>
      </c>
      <c r="V7" s="33" t="s">
        <v>20</v>
      </c>
      <c r="W7" s="33" t="s">
        <v>21</v>
      </c>
    </row>
    <row r="8" spans="1:27" ht="15.75" thickBot="1" x14ac:dyDescent="0.3">
      <c r="A8" s="50" t="s">
        <v>17</v>
      </c>
      <c r="B8" s="13">
        <f>(0.061*S18^0.75)*P16^1.035</f>
        <v>8.7772026892557715</v>
      </c>
      <c r="C8" s="5">
        <f>(0.061*V18^0.75)*P16^1.035</f>
        <v>8.9872712150290823</v>
      </c>
      <c r="D8" s="14">
        <f>(0.061*Y18^0.75)*P16^1.035</f>
        <v>9.0927907510521813</v>
      </c>
      <c r="E8" s="5">
        <f>(0.061*T18^0.75)*P16^1.035</f>
        <v>8.7631146380976119</v>
      </c>
      <c r="F8" s="5">
        <f>(0.061*W18^0.75)*P16^1.035</f>
        <v>8.8924752711893174</v>
      </c>
      <c r="G8" s="14">
        <f>(0.061*Z18^0.75)*P16^1.035</f>
        <v>9.0406037135818078</v>
      </c>
      <c r="H8" s="5">
        <f>(0.061*U18^0.75)*P16^1.035</f>
        <v>8.7312359221781826</v>
      </c>
      <c r="I8" s="5">
        <f>(0.061*X18^0.75)*P16^1.035</f>
        <v>8.8595467964039987</v>
      </c>
      <c r="J8" s="14">
        <f>(0.061*AA18^0.75)*P16^1.035</f>
        <v>9.0067989153857084</v>
      </c>
      <c r="K8" s="15"/>
      <c r="L8" s="106">
        <f>(0.052*S8^0.75*R8^1.062)</f>
        <v>7.354241100277612</v>
      </c>
      <c r="M8" s="106"/>
      <c r="N8" s="107"/>
      <c r="P8" s="8">
        <f>(0.8915*R3^1.0151)</f>
        <v>509.49079458417214</v>
      </c>
      <c r="Q8" s="8">
        <f>(0.8507*P8^1.0002)</f>
        <v>433.96449773826674</v>
      </c>
      <c r="R8" s="8">
        <f>(0.963*T3^1.0151)</f>
        <v>1.4533711137530432</v>
      </c>
      <c r="S8" s="8">
        <f>(Q8/T8)*T8</f>
        <v>433.96449773826674</v>
      </c>
      <c r="T8" s="8">
        <v>517</v>
      </c>
      <c r="U8" s="8">
        <f>(1.14*(L8/R8)^-1.137)</f>
        <v>0.18041531811115738</v>
      </c>
      <c r="V8" s="8">
        <f>(0.327/(0.539+U8))</f>
        <v>0.45453577616132296</v>
      </c>
      <c r="W8" s="8">
        <f>((0.513+(0.173*V8)+(0.1*R8))*0.92)</f>
        <v>0.67801405659911618</v>
      </c>
    </row>
    <row r="9" spans="1:27" ht="15.75" thickBot="1" x14ac:dyDescent="0.3">
      <c r="A9" s="50" t="s">
        <v>18</v>
      </c>
      <c r="B9" s="13">
        <f>SUM(B7:B8)</f>
        <v>16.105918030497239</v>
      </c>
      <c r="C9" s="5">
        <f t="shared" ref="C9:J9" si="0">SUM(C7:C8)</f>
        <v>16.491387818159076</v>
      </c>
      <c r="D9" s="5">
        <f t="shared" si="0"/>
        <v>16.685013174433976</v>
      </c>
      <c r="E9" s="13">
        <f t="shared" si="0"/>
        <v>16.08006685613157</v>
      </c>
      <c r="F9" s="5">
        <f t="shared" si="0"/>
        <v>16.317439949440516</v>
      </c>
      <c r="G9" s="5">
        <f t="shared" si="0"/>
        <v>16.589251440598069</v>
      </c>
      <c r="H9" s="13">
        <f t="shared" si="0"/>
        <v>16.021570316437398</v>
      </c>
      <c r="I9" s="5">
        <f t="shared" si="0"/>
        <v>16.257017131996545</v>
      </c>
      <c r="J9" s="14">
        <f t="shared" si="0"/>
        <v>16.527220594546129</v>
      </c>
      <c r="K9" s="15"/>
      <c r="L9" s="106">
        <f>SUM(L7:N8)</f>
        <v>14.485265372381843</v>
      </c>
      <c r="M9" s="106"/>
      <c r="N9" s="107"/>
      <c r="Q9" s="1"/>
      <c r="R9" s="1"/>
      <c r="S9" s="1"/>
      <c r="T9" s="1"/>
      <c r="U9" s="1"/>
      <c r="V9" s="1"/>
    </row>
    <row r="10" spans="1:27" ht="15.75" thickBot="1" x14ac:dyDescent="0.3">
      <c r="A10" s="51" t="s">
        <v>23</v>
      </c>
      <c r="B10" s="28">
        <f>(B7/P19)</f>
        <v>10.716646005401806</v>
      </c>
      <c r="C10" s="29">
        <f>(C7/P19)</f>
        <v>10.973132053097268</v>
      </c>
      <c r="D10" s="29">
        <f>(D7/P19)</f>
        <v>11.101967577836605</v>
      </c>
      <c r="E10" s="28">
        <f>(E7/Q19)</f>
        <v>11.362706671855411</v>
      </c>
      <c r="F10" s="29">
        <f>(F7/Q19)</f>
        <v>11.530442344548341</v>
      </c>
      <c r="G10" s="29">
        <f>(G7/Q19)</f>
        <v>11.722513327318241</v>
      </c>
      <c r="H10" s="28">
        <f>(H7/R19)</f>
        <v>13.205823809226274</v>
      </c>
      <c r="I10" s="29">
        <f>(I7/R19)</f>
        <v>13.399891500551606</v>
      </c>
      <c r="J10" s="30">
        <f>(J7/R19)</f>
        <v>13.62260745464331</v>
      </c>
      <c r="K10" s="15"/>
      <c r="L10" s="103">
        <f>(L7/W8)</f>
        <v>10.517516860746346</v>
      </c>
      <c r="M10" s="103"/>
      <c r="N10" s="104"/>
      <c r="P10" s="117" t="s">
        <v>40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75" thickBot="1" x14ac:dyDescent="0.3">
      <c r="A11" s="51" t="s">
        <v>22</v>
      </c>
      <c r="B11" s="28">
        <f>(B8/S26)</f>
        <v>18.428024890045631</v>
      </c>
      <c r="C11" s="29">
        <f>(C8/V26)</f>
        <v>18.876483953357962</v>
      </c>
      <c r="D11" s="29">
        <f>(D8/Y26)</f>
        <v>19.115180134272801</v>
      </c>
      <c r="E11" s="28">
        <f>(E8/T26)</f>
        <v>18.293532252391095</v>
      </c>
      <c r="F11" s="29">
        <f>(F8/W26)</f>
        <v>18.610957737868691</v>
      </c>
      <c r="G11" s="29">
        <f>(G8/Z26)</f>
        <v>18.937963068151536</v>
      </c>
      <c r="H11" s="28">
        <f>(H8/U26)</f>
        <v>18.176420870518623</v>
      </c>
      <c r="I11" s="29">
        <f>(I8/X26)</f>
        <v>18.468748964340179</v>
      </c>
      <c r="J11" s="30">
        <f>(J8/AA26)</f>
        <v>18.792486882212611</v>
      </c>
      <c r="K11" s="15"/>
      <c r="L11" s="103">
        <f>(L8/V8)</f>
        <v>16.179674925450662</v>
      </c>
      <c r="M11" s="103"/>
      <c r="N11" s="104"/>
      <c r="P11" s="118" t="s">
        <v>10</v>
      </c>
      <c r="Q11" s="118"/>
      <c r="R11" s="118"/>
      <c r="S11" s="118" t="s">
        <v>11</v>
      </c>
      <c r="T11" s="118"/>
      <c r="U11" s="118"/>
      <c r="V11" s="118"/>
      <c r="W11" s="118"/>
      <c r="X11" s="118"/>
      <c r="Y11" s="118"/>
      <c r="Z11" s="118"/>
      <c r="AA11" s="118"/>
    </row>
    <row r="12" spans="1:27" ht="15.75" thickBot="1" x14ac:dyDescent="0.3">
      <c r="A12" s="52" t="s">
        <v>32</v>
      </c>
      <c r="B12" s="21">
        <f>SUM(B10:B11)</f>
        <v>29.144670895447437</v>
      </c>
      <c r="C12" s="20">
        <f t="shared" ref="C12:J12" si="1">SUM(C10:C11)</f>
        <v>29.849616006455229</v>
      </c>
      <c r="D12" s="20">
        <f t="shared" si="1"/>
        <v>30.217147712109409</v>
      </c>
      <c r="E12" s="21">
        <f t="shared" si="1"/>
        <v>29.656238924246509</v>
      </c>
      <c r="F12" s="20">
        <f t="shared" si="1"/>
        <v>30.141400082417032</v>
      </c>
      <c r="G12" s="20">
        <f t="shared" si="1"/>
        <v>30.660476395469779</v>
      </c>
      <c r="H12" s="21">
        <f t="shared" si="1"/>
        <v>31.382244679744897</v>
      </c>
      <c r="I12" s="20">
        <f t="shared" si="1"/>
        <v>31.868640464891783</v>
      </c>
      <c r="J12" s="19">
        <f t="shared" si="1"/>
        <v>32.415094336855923</v>
      </c>
      <c r="K12" s="15"/>
      <c r="L12" s="119">
        <f>SUM(L10:N11)</f>
        <v>26.69719178619701</v>
      </c>
      <c r="M12" s="119"/>
      <c r="N12" s="120"/>
      <c r="P12" s="118"/>
      <c r="Q12" s="118"/>
      <c r="R12" s="118"/>
      <c r="S12" s="96" t="s">
        <v>28</v>
      </c>
      <c r="T12" s="97"/>
      <c r="U12" s="98"/>
      <c r="V12" s="96" t="s">
        <v>29</v>
      </c>
      <c r="W12" s="97"/>
      <c r="X12" s="98"/>
      <c r="Y12" s="96" t="s">
        <v>30</v>
      </c>
      <c r="Z12" s="97"/>
      <c r="AA12" s="98"/>
    </row>
    <row r="13" spans="1:27" ht="15.75" thickBot="1" x14ac:dyDescent="0.3">
      <c r="A13" s="50" t="s">
        <v>25</v>
      </c>
      <c r="B13" s="13">
        <f>(((B12/B6)+(0.3032)/0.9455)*B6)</f>
        <v>32.610113290148924</v>
      </c>
      <c r="C13" s="5">
        <f>(((C12/B6)+(0.3032)/0.9455)*B6)</f>
        <v>33.315058401156719</v>
      </c>
      <c r="D13" s="5">
        <f>(((D12/B6)+(0.3032)/0.9455)*B6)</f>
        <v>33.682590106810899</v>
      </c>
      <c r="E13" s="13">
        <f>(((E12/E6)+(0.3032)/0.9455)*E6)</f>
        <v>33.127440067434833</v>
      </c>
      <c r="F13" s="5">
        <f>(((F12/E6)+(0.3032)/0.9455)*E6)</f>
        <v>33.61260122560536</v>
      </c>
      <c r="G13" s="5">
        <f>(((G12/E6)+(0.3032)/0.9455)*E6)</f>
        <v>34.13167753865811</v>
      </c>
      <c r="H13" s="13">
        <f>(((H12/H6)+(0.3032)/0.9455)*H6)</f>
        <v>34.879660166995677</v>
      </c>
      <c r="I13" s="5">
        <f>(((I12/H6)+(0.3032)/0.9455)*H6)</f>
        <v>35.36605595214256</v>
      </c>
      <c r="J13" s="14">
        <f>(((J12/H6)+(0.3032)/0.9455)*H6)</f>
        <v>35.912509824106706</v>
      </c>
      <c r="K13" s="15"/>
      <c r="L13" s="5">
        <f>((((L12/L6)+0.3032)/0.9455)*L6)</f>
        <v>31.701499281213398</v>
      </c>
      <c r="N13" s="14">
        <f>((((L12/N6)+0.3032)/0.9455)*N6)</f>
        <v>31.733472373762691</v>
      </c>
      <c r="P13" s="34" t="s">
        <v>2</v>
      </c>
      <c r="Q13" s="34" t="s">
        <v>26</v>
      </c>
      <c r="R13" s="34" t="s">
        <v>27</v>
      </c>
      <c r="S13" s="34" t="s">
        <v>2</v>
      </c>
      <c r="T13" s="34" t="s">
        <v>26</v>
      </c>
      <c r="U13" s="34" t="s">
        <v>27</v>
      </c>
      <c r="V13" s="34" t="s">
        <v>2</v>
      </c>
      <c r="W13" s="34" t="s">
        <v>26</v>
      </c>
      <c r="X13" s="34" t="s">
        <v>27</v>
      </c>
      <c r="Y13" s="34" t="s">
        <v>2</v>
      </c>
      <c r="Z13" s="34" t="s">
        <v>26</v>
      </c>
      <c r="AA13" s="34" t="s">
        <v>27</v>
      </c>
    </row>
    <row r="14" spans="1:27" ht="15.75" thickBot="1" x14ac:dyDescent="0.3">
      <c r="A14" s="53" t="s">
        <v>24</v>
      </c>
      <c r="B14" s="24">
        <f>(B13/4.4)</f>
        <v>7.4113893841247549</v>
      </c>
      <c r="C14" s="25">
        <f t="shared" ref="C14:J14" si="2">(C13/4.4)</f>
        <v>7.5716041820810718</v>
      </c>
      <c r="D14" s="25">
        <f>(D13/4.4)</f>
        <v>7.6551341151842944</v>
      </c>
      <c r="E14" s="24">
        <f t="shared" si="2"/>
        <v>7.5289636516897342</v>
      </c>
      <c r="F14" s="25">
        <f t="shared" si="2"/>
        <v>7.6392275512739447</v>
      </c>
      <c r="G14" s="25">
        <f t="shared" si="2"/>
        <v>7.7571994406041149</v>
      </c>
      <c r="H14" s="24">
        <f t="shared" si="2"/>
        <v>7.9271954924990169</v>
      </c>
      <c r="I14" s="25">
        <f t="shared" si="2"/>
        <v>8.0377399891233079</v>
      </c>
      <c r="J14" s="26">
        <f t="shared" si="2"/>
        <v>8.1619340509333416</v>
      </c>
      <c r="K14" s="15"/>
      <c r="L14" s="25">
        <f>(L13/4.4)</f>
        <v>7.2048862002757712</v>
      </c>
      <c r="M14" s="100">
        <f>(N13/4.4)</f>
        <v>7.2121528122187932</v>
      </c>
      <c r="N14" s="101"/>
      <c r="P14" s="8">
        <f>(0.8915*R3^1.0151)</f>
        <v>509.49079458417214</v>
      </c>
      <c r="Q14" s="8">
        <f>(0.8915*R3^1.0151)</f>
        <v>509.49079458417214</v>
      </c>
      <c r="R14" s="8">
        <f>(0.9247*R3^1.0085)</f>
        <v>507.09605238098669</v>
      </c>
      <c r="S14" s="8">
        <f>(0.8126*P14^1.0134)</f>
        <v>450.07903804486875</v>
      </c>
      <c r="T14" s="8">
        <f>(0.7248*Q14^1.0314)</f>
        <v>449.11608285166017</v>
      </c>
      <c r="U14" s="8">
        <f>(0.7248*R14^1.0314)</f>
        <v>446.93899445821302</v>
      </c>
      <c r="V14" s="8">
        <f>(0.6241*P14^1.0608)</f>
        <v>464.4986047278577</v>
      </c>
      <c r="W14" s="8">
        <f>(0.6586*Q14^1.0499)</f>
        <v>457.97753100995101</v>
      </c>
      <c r="X14" s="8">
        <f>(0.6586*R14^1.0499)</f>
        <v>455.71776472872722</v>
      </c>
      <c r="Y14" s="8">
        <f>(0.611*P14^1.0667)</f>
        <v>471.78436679963761</v>
      </c>
      <c r="Z14" s="8">
        <f>(0.6314*Q14^1.0602)</f>
        <v>468.17748784201024</v>
      </c>
      <c r="AA14" s="8">
        <f>(0.6314*R14^1.0602)</f>
        <v>465.84478609285696</v>
      </c>
    </row>
    <row r="15" spans="1:27" ht="15.75" thickBot="1" x14ac:dyDescent="0.3">
      <c r="P15" s="35" t="s">
        <v>12</v>
      </c>
      <c r="R15" s="1"/>
      <c r="S15" s="118" t="s">
        <v>31</v>
      </c>
      <c r="T15" s="118"/>
      <c r="U15" s="118"/>
      <c r="V15" s="118"/>
      <c r="W15" s="118"/>
      <c r="X15" s="118"/>
      <c r="Y15" s="118"/>
      <c r="Z15" s="118"/>
      <c r="AA15" s="118"/>
    </row>
    <row r="16" spans="1:27" ht="15.75" thickBot="1" x14ac:dyDescent="0.3">
      <c r="A16" s="54" t="s">
        <v>33</v>
      </c>
      <c r="B16" s="22">
        <f>(3.6*P14^0.75)</f>
        <v>386.05995613425347</v>
      </c>
      <c r="C16" s="11">
        <f>(3.6*P14^0.75)</f>
        <v>386.05995613425347</v>
      </c>
      <c r="D16" s="12">
        <f>(3.6*P14^0.75)</f>
        <v>386.05995613425347</v>
      </c>
      <c r="E16" s="11">
        <f>(3.6*Q14^0.75)</f>
        <v>386.05995613425347</v>
      </c>
      <c r="F16" s="11">
        <f>(3.6*Q14^0.75)</f>
        <v>386.05995613425347</v>
      </c>
      <c r="G16" s="12">
        <f>(3.6*Q14^0.75)</f>
        <v>386.05995613425347</v>
      </c>
      <c r="H16" s="11">
        <f>(3.6*R14^0.75)</f>
        <v>384.6982166350727</v>
      </c>
      <c r="I16" s="11">
        <f>(3.6*R14^0.75)</f>
        <v>384.6982166350727</v>
      </c>
      <c r="J16" s="12">
        <f>(3.6*R14^0.75)</f>
        <v>384.6982166350727</v>
      </c>
      <c r="K16" s="15"/>
      <c r="L16" s="11">
        <f>(3.9*P8^0.75)</f>
        <v>418.23161914544124</v>
      </c>
      <c r="M16" s="11">
        <f>(3.9*P8^0.75)</f>
        <v>418.23161914544124</v>
      </c>
      <c r="N16" s="12">
        <f>(3.9*P8^0.75)</f>
        <v>418.23161914544124</v>
      </c>
      <c r="P16" s="8">
        <f>(0.963*T3^1.0151)</f>
        <v>1.4533711137530432</v>
      </c>
      <c r="S16" s="96" t="s">
        <v>28</v>
      </c>
      <c r="T16" s="97"/>
      <c r="U16" s="98"/>
      <c r="V16" s="96" t="s">
        <v>29</v>
      </c>
      <c r="W16" s="97"/>
      <c r="X16" s="98"/>
      <c r="Y16" s="96" t="s">
        <v>30</v>
      </c>
      <c r="Z16" s="97"/>
      <c r="AA16" s="98"/>
    </row>
    <row r="17" spans="1:33" ht="15.75" thickBot="1" x14ac:dyDescent="0.3">
      <c r="A17" s="50" t="s">
        <v>34</v>
      </c>
      <c r="B17" s="13">
        <f>((176.01*P16)-(0.381*S18^0.75*P16^1.035))</f>
        <v>200.98630506599363</v>
      </c>
      <c r="C17" s="5">
        <f>((176.01*P16)-(0.381*V18^0.75*P16^1.035))</f>
        <v>199.67423771649146</v>
      </c>
      <c r="D17" s="5">
        <f>((176.01*P16)-(0.381*Y18^0.75*P16^1.035))</f>
        <v>199.01517307346194</v>
      </c>
      <c r="E17" s="13">
        <f>((176.01*P16)-(0.381*T18^0.75*P16^1.035))</f>
        <v>201.07429764781753</v>
      </c>
      <c r="F17" s="5">
        <f>((176.01*P16)-(0.381*W18^0.75*P16^1.035))</f>
        <v>200.26632385752345</v>
      </c>
      <c r="G17" s="5">
        <f>((176.01*P16)-(0.381*Z18^0.75*P16^1.035))</f>
        <v>199.34112817635068</v>
      </c>
      <c r="H17" s="13">
        <f>((176.01*P16)-(0.381*U18^0.75*P16^1.035))</f>
        <v>201.27340897183888</v>
      </c>
      <c r="I17" s="5">
        <f>((176.01*P16)-(0.381*X18^0.75*P16^1.035))</f>
        <v>200.47199187216617</v>
      </c>
      <c r="J17" s="14">
        <f>((176.01*P16)-(0.381*AA18^0.75*P16^1.035))</f>
        <v>199.55226962082139</v>
      </c>
      <c r="K17" s="15"/>
      <c r="L17" s="106">
        <f>((176.01*R8)-(0.381*S8^0.75*R8^1.035))</f>
        <v>202.46510854956256</v>
      </c>
      <c r="M17" s="106"/>
      <c r="N17" s="107"/>
      <c r="P17" s="93" t="s">
        <v>21</v>
      </c>
      <c r="Q17" s="94"/>
      <c r="R17" s="95"/>
      <c r="S17" s="36" t="s">
        <v>2</v>
      </c>
      <c r="T17" s="34" t="s">
        <v>26</v>
      </c>
      <c r="U17" s="34" t="s">
        <v>27</v>
      </c>
      <c r="V17" s="34" t="s">
        <v>2</v>
      </c>
      <c r="W17" s="34" t="s">
        <v>26</v>
      </c>
      <c r="X17" s="34" t="s">
        <v>27</v>
      </c>
      <c r="Y17" s="34" t="s">
        <v>2</v>
      </c>
      <c r="Z17" s="34" t="s">
        <v>26</v>
      </c>
      <c r="AA17" s="34" t="s">
        <v>27</v>
      </c>
    </row>
    <row r="18" spans="1:33" ht="15.75" thickBot="1" x14ac:dyDescent="0.3">
      <c r="A18" s="50" t="s">
        <v>35</v>
      </c>
      <c r="B18" s="13">
        <f>(B17/P40%)</f>
        <v>636.0188960156645</v>
      </c>
      <c r="C18" s="5">
        <f>(C17/S40%)</f>
        <v>667.79309067118038</v>
      </c>
      <c r="D18" s="5">
        <f>(D17/V40%)</f>
        <v>685.27565424262229</v>
      </c>
      <c r="E18" s="13">
        <f>(E17/Q40%)</f>
        <v>634.01949269279169</v>
      </c>
      <c r="F18" s="5">
        <f>(F17/T40%)</f>
        <v>652.98311438264648</v>
      </c>
      <c r="G18" s="5">
        <f>(G17/W40%)</f>
        <v>676.49227717701319</v>
      </c>
      <c r="H18" s="13">
        <f>(H17/R40%)</f>
        <v>629.55204843219462</v>
      </c>
      <c r="I18" s="5">
        <f>(I17/U40%)</f>
        <v>648.02430311948524</v>
      </c>
      <c r="J18" s="14">
        <f>(J17/X40%)</f>
        <v>670.94661572329176</v>
      </c>
      <c r="K18" s="15"/>
      <c r="L18" s="105">
        <f>(L17/P33%)</f>
        <v>604.36289162814739</v>
      </c>
      <c r="M18" s="106"/>
      <c r="N18" s="107"/>
      <c r="P18" s="34" t="s">
        <v>2</v>
      </c>
      <c r="Q18" s="34" t="s">
        <v>26</v>
      </c>
      <c r="R18" s="34" t="s">
        <v>27</v>
      </c>
      <c r="S18" s="9">
        <f>(S14/517)*517</f>
        <v>450.07903804486875</v>
      </c>
      <c r="T18" s="8">
        <f t="shared" ref="T18:AA18" si="3">(T14/517)*517</f>
        <v>449.11608285166017</v>
      </c>
      <c r="U18" s="8">
        <f t="shared" si="3"/>
        <v>446.93899445821302</v>
      </c>
      <c r="V18" s="8">
        <f t="shared" si="3"/>
        <v>464.4986047278577</v>
      </c>
      <c r="W18" s="8">
        <f t="shared" si="3"/>
        <v>457.97753100995101</v>
      </c>
      <c r="X18" s="8">
        <f t="shared" si="3"/>
        <v>455.71776472872722</v>
      </c>
      <c r="Y18" s="8">
        <f t="shared" si="3"/>
        <v>471.78436679963761</v>
      </c>
      <c r="Z18" s="8">
        <f t="shared" si="3"/>
        <v>468.17748784201024</v>
      </c>
      <c r="AA18" s="8">
        <f t="shared" si="3"/>
        <v>465.84478609285696</v>
      </c>
    </row>
    <row r="19" spans="1:33" ht="15.75" thickBot="1" x14ac:dyDescent="0.3">
      <c r="A19" s="55" t="s">
        <v>37</v>
      </c>
      <c r="B19" s="5">
        <f>(B17/Y40%)</f>
        <v>424.02174064555624</v>
      </c>
      <c r="C19" s="5">
        <f>(C17/Y40%)</f>
        <v>421.25366606854743</v>
      </c>
      <c r="D19" s="14">
        <f>(D17/Y40%)</f>
        <v>419.8632343321982</v>
      </c>
      <c r="E19" s="5">
        <f>(E17/Y40%)</f>
        <v>424.20737900383449</v>
      </c>
      <c r="F19" s="5">
        <f>(F17/Y40%)</f>
        <v>422.50279294836173</v>
      </c>
      <c r="G19" s="14">
        <f>(G17/Y40%)</f>
        <v>420.55090332563435</v>
      </c>
      <c r="H19" s="5">
        <f>(H17/Y40%)</f>
        <v>424.62744508826768</v>
      </c>
      <c r="I19" s="5">
        <f>(I17/Y40%)</f>
        <v>422.93669171343078</v>
      </c>
      <c r="J19" s="14">
        <f>(J17/Y40%)</f>
        <v>420.99634941101561</v>
      </c>
      <c r="K19" s="15"/>
      <c r="L19" s="105">
        <f>(L17/R33%)</f>
        <v>427.14157921848641</v>
      </c>
      <c r="M19" s="106"/>
      <c r="N19" s="107"/>
      <c r="P19" s="8">
        <f>(0.513+(0.173*S22)+(0.1*P16))*1</f>
        <v>0.68386278109283205</v>
      </c>
      <c r="Q19" s="8">
        <f>(0.513+(0.173*T22)+(0.073*P16))*1</f>
        <v>0.64394447813719513</v>
      </c>
      <c r="R19" s="8">
        <f>(0.513+(0.173*U22)+(0.01*P16))*1</f>
        <v>0.5520544950149805</v>
      </c>
      <c r="S19" s="116" t="s">
        <v>19</v>
      </c>
      <c r="T19" s="116"/>
      <c r="U19" s="116"/>
      <c r="V19" s="116"/>
      <c r="W19" s="116"/>
      <c r="X19" s="116"/>
      <c r="Y19" s="116"/>
      <c r="Z19" s="116"/>
      <c r="AA19" s="116"/>
    </row>
    <row r="20" spans="1:33" ht="15.75" thickBot="1" x14ac:dyDescent="0.3">
      <c r="A20" s="52" t="s">
        <v>36</v>
      </c>
      <c r="B20" s="21">
        <f>(B16+B18)</f>
        <v>1022.078852149918</v>
      </c>
      <c r="C20" s="20">
        <f t="shared" ref="C20:J20" si="4">(C16+C18)</f>
        <v>1053.8530468054339</v>
      </c>
      <c r="D20" s="20">
        <f t="shared" si="4"/>
        <v>1071.3356103768758</v>
      </c>
      <c r="E20" s="21">
        <f t="shared" si="4"/>
        <v>1020.0794488270451</v>
      </c>
      <c r="F20" s="20">
        <f t="shared" si="4"/>
        <v>1039.0430705168999</v>
      </c>
      <c r="G20" s="20">
        <f t="shared" si="4"/>
        <v>1062.5522333112667</v>
      </c>
      <c r="H20" s="21">
        <f t="shared" si="4"/>
        <v>1014.2502650672673</v>
      </c>
      <c r="I20" s="20">
        <f t="shared" si="4"/>
        <v>1032.7225197545579</v>
      </c>
      <c r="J20" s="19">
        <f t="shared" si="4"/>
        <v>1055.6448323583645</v>
      </c>
      <c r="K20" s="15"/>
      <c r="L20" s="20">
        <f>(L16+L18)</f>
        <v>1022.5945107735886</v>
      </c>
      <c r="M20" s="20">
        <f>(M16+L18)</f>
        <v>1022.5945107735886</v>
      </c>
      <c r="N20" s="19">
        <f>(N16+L18)</f>
        <v>1022.5945107735886</v>
      </c>
      <c r="S20" s="96" t="s">
        <v>28</v>
      </c>
      <c r="T20" s="97"/>
      <c r="U20" s="98"/>
      <c r="V20" s="96" t="s">
        <v>29</v>
      </c>
      <c r="W20" s="97"/>
      <c r="X20" s="98"/>
      <c r="Y20" s="96" t="s">
        <v>30</v>
      </c>
      <c r="Z20" s="97"/>
      <c r="AA20" s="98"/>
    </row>
    <row r="21" spans="1:33" ht="15.75" thickBot="1" x14ac:dyDescent="0.3">
      <c r="A21" s="52" t="s">
        <v>38</v>
      </c>
      <c r="B21" s="21">
        <f>(B16+B19)</f>
        <v>810.0816967798097</v>
      </c>
      <c r="C21" s="20">
        <f t="shared" ref="C21:J21" si="5">(C16+C19)</f>
        <v>807.31362220280084</v>
      </c>
      <c r="D21" s="20">
        <f t="shared" si="5"/>
        <v>805.92319046645162</v>
      </c>
      <c r="E21" s="21">
        <f t="shared" si="5"/>
        <v>810.2673351380879</v>
      </c>
      <c r="F21" s="20">
        <f t="shared" si="5"/>
        <v>808.56274908261526</v>
      </c>
      <c r="G21" s="20">
        <f>(G16+G19)</f>
        <v>806.61085945988782</v>
      </c>
      <c r="H21" s="21">
        <f t="shared" si="5"/>
        <v>809.32566172334032</v>
      </c>
      <c r="I21" s="20">
        <f t="shared" si="5"/>
        <v>807.63490834850347</v>
      </c>
      <c r="J21" s="19">
        <f t="shared" si="5"/>
        <v>805.69456604608831</v>
      </c>
      <c r="K21" s="15"/>
      <c r="L21" s="20">
        <f>(L16+L19)</f>
        <v>845.37319836392771</v>
      </c>
      <c r="M21" s="20">
        <f>(M16+L19)</f>
        <v>845.37319836392771</v>
      </c>
      <c r="N21" s="19">
        <f>(N16+L19)</f>
        <v>845.37319836392771</v>
      </c>
      <c r="S21" s="34" t="s">
        <v>2</v>
      </c>
      <c r="T21" s="34" t="s">
        <v>26</v>
      </c>
      <c r="U21" s="34" t="s">
        <v>27</v>
      </c>
      <c r="V21" s="34" t="s">
        <v>2</v>
      </c>
      <c r="W21" s="34" t="s">
        <v>26</v>
      </c>
      <c r="X21" s="34" t="s">
        <v>27</v>
      </c>
      <c r="Y21" s="34" t="s">
        <v>2</v>
      </c>
      <c r="Z21" s="34" t="s">
        <v>26</v>
      </c>
      <c r="AA21" s="34" t="s">
        <v>27</v>
      </c>
    </row>
    <row r="22" spans="1:33" ht="15.75" thickBot="1" x14ac:dyDescent="0.3">
      <c r="A22" s="56" t="s">
        <v>147</v>
      </c>
      <c r="B22" s="29">
        <f>(Q255)</f>
        <v>837.57507430162275</v>
      </c>
      <c r="C22" s="29">
        <f>(S255)</f>
        <v>856.72138385834182</v>
      </c>
      <c r="D22" s="29">
        <f>(U255)</f>
        <v>866.98926591013526</v>
      </c>
      <c r="E22" s="28">
        <f>(W255)</f>
        <v>841.99048143554796</v>
      </c>
      <c r="F22" s="29">
        <f>(Y255)</f>
        <v>853.99646238201058</v>
      </c>
      <c r="G22" s="29">
        <f>(AA255)</f>
        <v>867.98487027854685</v>
      </c>
      <c r="H22" s="28">
        <f>(AC255)</f>
        <v>856.6622688666572</v>
      </c>
      <c r="I22" s="29">
        <f>(AE255)</f>
        <v>868.2174196394111</v>
      </c>
      <c r="J22" s="30">
        <f>(AG255)</f>
        <v>881.93499705711292</v>
      </c>
      <c r="L22" s="28">
        <f>(AJ255)</f>
        <v>828.46845721534669</v>
      </c>
      <c r="M22" s="29">
        <f>(AL255)</f>
        <v>828.80035730253599</v>
      </c>
      <c r="N22" s="29">
        <f>(AN255)</f>
        <v>828.80035730253599</v>
      </c>
      <c r="O22" s="13"/>
      <c r="S22" s="8">
        <f>(1.14*(B8/P16)^-1.137)</f>
        <v>0.14754722380073787</v>
      </c>
      <c r="T22" s="8">
        <f>(1.14*(C8/P16)^-1.137)</f>
        <v>0.14363229383365902</v>
      </c>
      <c r="U22" s="8">
        <f>(1.14*(D8/P16)^-1.137)</f>
        <v>0.14173863512976934</v>
      </c>
      <c r="V22" s="8">
        <f>(1.14*(E8/P16)^-1.137)</f>
        <v>0.14781695534299946</v>
      </c>
      <c r="W22" s="8">
        <f>(1.14*(F8/P16)^-1.137)</f>
        <v>0.14537448457128221</v>
      </c>
      <c r="X22" s="8">
        <f>(1.14*(G8/P16)^-1.137)</f>
        <v>0.14266928287917868</v>
      </c>
      <c r="Y22" s="8">
        <f>(1.14*(H8/P16)^-1.137)</f>
        <v>0.14843074321642169</v>
      </c>
      <c r="Z22" s="8">
        <f>(1.14*(I8/P16)^-1.137)</f>
        <v>0.14598898076708777</v>
      </c>
      <c r="AA22" s="8">
        <f>(1.14*(J8/P16)^-1.137)</f>
        <v>0.14327827313721744</v>
      </c>
    </row>
    <row r="23" spans="1:33" ht="15.75" thickBot="1" x14ac:dyDescent="0.3">
      <c r="A23" s="56" t="s">
        <v>147</v>
      </c>
      <c r="B23" s="29">
        <f>(Q150)</f>
        <v>756.76149574547901</v>
      </c>
      <c r="C23" s="29">
        <f>(S150)</f>
        <v>762.73940443000834</v>
      </c>
      <c r="D23" s="30">
        <f>(U150)</f>
        <v>765.81372226304541</v>
      </c>
      <c r="E23" s="29">
        <f>(W150)</f>
        <v>762.00984347825283</v>
      </c>
      <c r="F23" s="29">
        <f>(Y150)</f>
        <v>766.13707799849226</v>
      </c>
      <c r="G23" s="30">
        <f>(AA150)</f>
        <v>770.4197011356116</v>
      </c>
      <c r="H23" s="29">
        <f>(AC150)</f>
        <v>778.54475591461267</v>
      </c>
      <c r="I23" s="29">
        <f>(AE150)</f>
        <v>782.41374300695213</v>
      </c>
      <c r="J23" s="30">
        <f>(AG150)</f>
        <v>786.65364553854283</v>
      </c>
      <c r="K23" s="14"/>
      <c r="L23" s="29">
        <f>(AJ150)</f>
        <v>760.91147312639691</v>
      </c>
      <c r="M23" s="29">
        <f>(AL150)</f>
        <v>761.24337321358621</v>
      </c>
      <c r="N23" s="30">
        <f>(AN150)</f>
        <v>761.24337321358621</v>
      </c>
      <c r="S23" s="93" t="s">
        <v>20</v>
      </c>
      <c r="T23" s="94"/>
      <c r="U23" s="94"/>
      <c r="V23" s="94"/>
      <c r="W23" s="94"/>
      <c r="X23" s="94"/>
      <c r="Y23" s="94"/>
      <c r="Z23" s="94"/>
      <c r="AA23" s="95"/>
    </row>
    <row r="24" spans="1:33" ht="15.75" thickBot="1" x14ac:dyDescent="0.3">
      <c r="A24" s="51" t="s">
        <v>48</v>
      </c>
      <c r="B24" s="28">
        <f t="shared" ref="B24:J24" si="6">(B20-(B23*0.64))/0.8</f>
        <v>672.18936859101427</v>
      </c>
      <c r="C24" s="29">
        <f t="shared" si="6"/>
        <v>707.12478496278572</v>
      </c>
      <c r="D24" s="29">
        <f t="shared" si="6"/>
        <v>726.51853516065842</v>
      </c>
      <c r="E24" s="28">
        <f t="shared" si="6"/>
        <v>665.49143625120405</v>
      </c>
      <c r="F24" s="29">
        <f t="shared" si="6"/>
        <v>685.89417574733102</v>
      </c>
      <c r="G24" s="29">
        <f t="shared" si="6"/>
        <v>711.85453073059421</v>
      </c>
      <c r="H24" s="28">
        <f t="shared" si="6"/>
        <v>644.97702660239383</v>
      </c>
      <c r="I24" s="29">
        <f t="shared" si="6"/>
        <v>664.97215528763559</v>
      </c>
      <c r="J24" s="29">
        <f t="shared" si="6"/>
        <v>690.23312401712133</v>
      </c>
      <c r="K24" s="13"/>
      <c r="L24" s="28">
        <f>(L20-(L23*0.64))/0.8</f>
        <v>669.51395996586825</v>
      </c>
      <c r="M24" s="29">
        <f>(M20-(M23*0.64))/0.8</f>
        <v>669.24843989611668</v>
      </c>
      <c r="N24" s="30">
        <f>(N20-(N23*0.64))/0.8</f>
        <v>669.24843989611668</v>
      </c>
      <c r="S24" s="96" t="s">
        <v>28</v>
      </c>
      <c r="T24" s="97"/>
      <c r="U24" s="98"/>
      <c r="V24" s="96" t="s">
        <v>29</v>
      </c>
      <c r="W24" s="97"/>
      <c r="X24" s="98"/>
      <c r="Y24" s="96" t="s">
        <v>30</v>
      </c>
      <c r="Z24" s="97"/>
      <c r="AA24" s="98"/>
    </row>
    <row r="25" spans="1:33" ht="15.75" thickBot="1" x14ac:dyDescent="0.3">
      <c r="A25" s="56" t="s">
        <v>49</v>
      </c>
      <c r="B25" s="29">
        <f t="shared" ref="B25:J25" si="7">(B21-(B23*0.64))/0.8</f>
        <v>407.1929243783789</v>
      </c>
      <c r="C25" s="29">
        <f t="shared" si="7"/>
        <v>398.95050420949434</v>
      </c>
      <c r="D25" s="30">
        <f t="shared" si="7"/>
        <v>394.75301027262816</v>
      </c>
      <c r="E25" s="29">
        <f t="shared" si="7"/>
        <v>403.22629414000755</v>
      </c>
      <c r="F25" s="29">
        <f t="shared" si="7"/>
        <v>397.79377395447523</v>
      </c>
      <c r="G25" s="30">
        <f t="shared" si="7"/>
        <v>391.9278134163705</v>
      </c>
      <c r="H25" s="29">
        <f t="shared" si="7"/>
        <v>388.82127242248521</v>
      </c>
      <c r="I25" s="29">
        <f t="shared" si="7"/>
        <v>383.61264103006761</v>
      </c>
      <c r="J25" s="30">
        <f t="shared" si="7"/>
        <v>377.79529112677608</v>
      </c>
      <c r="K25" s="14"/>
      <c r="L25" s="29">
        <f>(L21-(L23*0.64))/0.8</f>
        <v>447.98731945379205</v>
      </c>
      <c r="M25" s="29">
        <f>(M21-(M23*0.64))/0.8</f>
        <v>447.72179938404065</v>
      </c>
      <c r="N25" s="30">
        <f>(N21-(N23*0.64))/0.8</f>
        <v>447.72179938404065</v>
      </c>
      <c r="S25" s="34" t="s">
        <v>2</v>
      </c>
      <c r="T25" s="34" t="s">
        <v>26</v>
      </c>
      <c r="U25" s="34" t="s">
        <v>27</v>
      </c>
      <c r="V25" s="34" t="s">
        <v>2</v>
      </c>
      <c r="W25" s="34" t="s">
        <v>26</v>
      </c>
      <c r="X25" s="34" t="s">
        <v>27</v>
      </c>
      <c r="Y25" s="34" t="s">
        <v>2</v>
      </c>
      <c r="Z25" s="34" t="s">
        <v>26</v>
      </c>
      <c r="AA25" s="34" t="s">
        <v>27</v>
      </c>
    </row>
    <row r="26" spans="1:33" ht="15.75" thickBot="1" x14ac:dyDescent="0.3">
      <c r="A26" s="57" t="s">
        <v>50</v>
      </c>
      <c r="B26" s="20">
        <f>(B22+B24)</f>
        <v>1509.7644428926369</v>
      </c>
      <c r="C26" s="20">
        <f t="shared" ref="C26:N26" si="8">(C22+C24)</f>
        <v>1563.8461688211275</v>
      </c>
      <c r="D26" s="20">
        <f t="shared" si="8"/>
        <v>1593.5078010707937</v>
      </c>
      <c r="E26" s="21">
        <f t="shared" si="8"/>
        <v>1507.481917686752</v>
      </c>
      <c r="F26" s="20">
        <f t="shared" si="8"/>
        <v>1539.8906381293416</v>
      </c>
      <c r="G26" s="20">
        <f t="shared" si="8"/>
        <v>1579.8394010091411</v>
      </c>
      <c r="H26" s="21">
        <f t="shared" si="8"/>
        <v>1501.6392954690509</v>
      </c>
      <c r="I26" s="20">
        <f t="shared" si="8"/>
        <v>1533.1895749270466</v>
      </c>
      <c r="J26" s="20">
        <f t="shared" si="8"/>
        <v>1572.1681210742343</v>
      </c>
      <c r="K26" s="13"/>
      <c r="L26" s="21">
        <f>(L22+L24)</f>
        <v>1497.9824171812149</v>
      </c>
      <c r="M26" s="20">
        <f t="shared" si="8"/>
        <v>1498.0487971986527</v>
      </c>
      <c r="N26" s="20">
        <f t="shared" si="8"/>
        <v>1498.0487971986527</v>
      </c>
      <c r="S26" s="8">
        <f t="shared" ref="S26:AA26" si="9">(0.327/(0.539+S22))</f>
        <v>0.47629644205641392</v>
      </c>
      <c r="T26" s="8">
        <f t="shared" si="9"/>
        <v>0.47902802570849656</v>
      </c>
      <c r="U26" s="8">
        <f t="shared" si="9"/>
        <v>0.48036057177460467</v>
      </c>
      <c r="V26" s="8">
        <f t="shared" si="9"/>
        <v>0.47610938759759469</v>
      </c>
      <c r="W26" s="8">
        <f t="shared" si="9"/>
        <v>0.4778085790338093</v>
      </c>
      <c r="X26" s="8">
        <f t="shared" si="9"/>
        <v>0.47970476037712051</v>
      </c>
      <c r="Y26" s="8">
        <f t="shared" si="9"/>
        <v>0.47568428271042806</v>
      </c>
      <c r="Z26" s="8">
        <f t="shared" si="9"/>
        <v>0.47737994213251089</v>
      </c>
      <c r="AA26" s="8">
        <f t="shared" si="9"/>
        <v>0.47927658387303634</v>
      </c>
    </row>
    <row r="27" spans="1:33" ht="15.75" thickBot="1" x14ac:dyDescent="0.3">
      <c r="A27" s="58" t="s">
        <v>51</v>
      </c>
      <c r="B27" s="24">
        <f>(B23+B25)</f>
        <v>1163.954420123858</v>
      </c>
      <c r="C27" s="25">
        <f t="shared" ref="C27:J27" si="10">(C23+C25)</f>
        <v>1161.6899086395026</v>
      </c>
      <c r="D27" s="26">
        <f t="shared" si="10"/>
        <v>1160.5667325356735</v>
      </c>
      <c r="E27" s="25">
        <f t="shared" si="10"/>
        <v>1165.2361376182603</v>
      </c>
      <c r="F27" s="25">
        <f t="shared" si="10"/>
        <v>1163.9308519529675</v>
      </c>
      <c r="G27" s="26">
        <f t="shared" si="10"/>
        <v>1162.3475145519822</v>
      </c>
      <c r="H27" s="25">
        <f t="shared" si="10"/>
        <v>1167.3660283370978</v>
      </c>
      <c r="I27" s="25">
        <f t="shared" si="10"/>
        <v>1166.0263840370199</v>
      </c>
      <c r="J27" s="26">
        <f t="shared" si="10"/>
        <v>1164.4489366653188</v>
      </c>
      <c r="K27" s="14"/>
      <c r="L27" s="25">
        <f>(L23+L25)</f>
        <v>1208.8987925801889</v>
      </c>
      <c r="M27" s="25">
        <f>(M23+M25)</f>
        <v>1208.9651725976269</v>
      </c>
      <c r="N27" s="26">
        <f>(N23+N25)</f>
        <v>1208.9651725976269</v>
      </c>
    </row>
    <row r="28" spans="1:33" ht="15.75" thickBot="1" x14ac:dyDescent="0.3"/>
    <row r="29" spans="1:33" ht="15.75" thickBot="1" x14ac:dyDescent="0.3">
      <c r="A29" s="59" t="s">
        <v>52</v>
      </c>
      <c r="B29" s="75">
        <f>(11.7*R3)/1000</f>
        <v>6.0839999999999996</v>
      </c>
      <c r="C29" s="77"/>
      <c r="D29" s="77"/>
      <c r="E29" s="77"/>
      <c r="F29" s="77"/>
      <c r="G29" s="77"/>
      <c r="H29" s="77"/>
      <c r="I29" s="77"/>
      <c r="J29" s="79"/>
      <c r="K29" s="15"/>
      <c r="L29" s="91">
        <f>(11.7*R3)/1000</f>
        <v>6.0839999999999996</v>
      </c>
      <c r="M29" s="110"/>
      <c r="N29" s="92"/>
    </row>
    <row r="30" spans="1:33" ht="15.75" thickBot="1" x14ac:dyDescent="0.3">
      <c r="A30" s="55" t="s">
        <v>55</v>
      </c>
      <c r="B30" s="22">
        <f>(P16*(147*S14^-0.5))</f>
        <v>10.070463637342565</v>
      </c>
      <c r="C30" s="11">
        <f>(P16*(147*V14^-0.5))</f>
        <v>9.9129211579366814</v>
      </c>
      <c r="D30" s="12">
        <f>(P16*(147*Y14^-0.5))</f>
        <v>9.8360807625753814</v>
      </c>
      <c r="E30" s="11">
        <f>(P16*(66*T14^-0.32))</f>
        <v>13.588318108942095</v>
      </c>
      <c r="F30" s="11">
        <f>(P16*(66*W14^-0.32))</f>
        <v>13.50362362926044</v>
      </c>
      <c r="G30" s="12">
        <f>(P16*(66*Z14^-0.32))</f>
        <v>13.408774621952746</v>
      </c>
      <c r="H30" s="11">
        <f>(P16*(66*U14^-0.32))</f>
        <v>13.609463980635283</v>
      </c>
      <c r="I30" s="11">
        <f>(P16*(66*X14^-0.32))</f>
        <v>13.525014924357976</v>
      </c>
      <c r="J30" s="12">
        <f>(P16*(66*AA14^-0.32))</f>
        <v>13.430224216249696</v>
      </c>
      <c r="K30" s="15"/>
      <c r="L30" s="13">
        <f>(R8*(147*Q8^-0.5))</f>
        <v>10.255734234618258</v>
      </c>
      <c r="M30" s="106">
        <f>(R8*(66*Q8^-0.32))</f>
        <v>13.738367046246832</v>
      </c>
      <c r="N30" s="107"/>
      <c r="P30" s="114" t="s">
        <v>42</v>
      </c>
      <c r="Q30" s="114"/>
      <c r="R30" s="114"/>
      <c r="Z30" s="16"/>
      <c r="AA30" s="16"/>
      <c r="AB30" s="16"/>
      <c r="AC30" s="16"/>
      <c r="AD30" s="16"/>
      <c r="AE30" s="16"/>
      <c r="AF30" s="16"/>
      <c r="AG30" s="16"/>
    </row>
    <row r="31" spans="1:33" ht="15.75" thickBot="1" x14ac:dyDescent="0.3">
      <c r="A31" s="55" t="s">
        <v>56</v>
      </c>
      <c r="B31" s="13">
        <f>(B29+B30)</f>
        <v>16.154463637342566</v>
      </c>
      <c r="C31" s="5">
        <f>(B29+C30)</f>
        <v>15.996921157936681</v>
      </c>
      <c r="D31" s="14">
        <f>(B29+D30)</f>
        <v>15.920080762575381</v>
      </c>
      <c r="E31" s="5">
        <f>(B29+E30)</f>
        <v>19.672318108942093</v>
      </c>
      <c r="F31" s="5">
        <f>(B29+F30)</f>
        <v>19.587623629260442</v>
      </c>
      <c r="G31" s="14">
        <f>(B29+G30)</f>
        <v>19.492774621952748</v>
      </c>
      <c r="H31" s="5">
        <f>(B29+H30)</f>
        <v>19.693463980635283</v>
      </c>
      <c r="I31" s="5">
        <f>(B29+I30)</f>
        <v>19.609014924357975</v>
      </c>
      <c r="J31" s="14">
        <f>(B29+J30)</f>
        <v>19.514224216249694</v>
      </c>
      <c r="K31" s="15"/>
      <c r="L31" s="13">
        <f>(L29+L30)</f>
        <v>16.339734234618255</v>
      </c>
      <c r="M31" s="106">
        <f>(L29+M30)</f>
        <v>19.822367046246832</v>
      </c>
      <c r="N31" s="107"/>
      <c r="P31" s="115" t="s">
        <v>54</v>
      </c>
      <c r="Q31" s="115"/>
      <c r="R31" s="115"/>
    </row>
    <row r="32" spans="1:33" ht="15.75" thickBot="1" x14ac:dyDescent="0.3">
      <c r="A32" s="56" t="s">
        <v>57</v>
      </c>
      <c r="B32" s="28">
        <f>(B29/P45%)</f>
        <v>10.711267605633804</v>
      </c>
      <c r="C32" s="29">
        <f>(B29/P45%)</f>
        <v>10.711267605633804</v>
      </c>
      <c r="D32" s="30">
        <f>(B29/P45%)</f>
        <v>10.711267605633804</v>
      </c>
      <c r="E32" s="29">
        <f>(B29/P45%)</f>
        <v>10.711267605633804</v>
      </c>
      <c r="F32" s="29">
        <f>(B29/P45%)</f>
        <v>10.711267605633804</v>
      </c>
      <c r="G32" s="30">
        <f>(B29/P45%)</f>
        <v>10.711267605633804</v>
      </c>
      <c r="H32" s="29">
        <f>(B29/P45%)</f>
        <v>10.711267605633804</v>
      </c>
      <c r="I32" s="29">
        <f>(B29/P45%)</f>
        <v>10.711267605633804</v>
      </c>
      <c r="J32" s="30">
        <f>(B29/P45%)</f>
        <v>10.711267605633804</v>
      </c>
      <c r="K32" s="15"/>
      <c r="L32" s="28">
        <f>($L$29/$P$45%)</f>
        <v>10.711267605633804</v>
      </c>
      <c r="M32" s="103">
        <f>($L$29/$P$45%)</f>
        <v>10.711267605633804</v>
      </c>
      <c r="N32" s="104"/>
      <c r="P32" s="31" t="s">
        <v>44</v>
      </c>
      <c r="Q32" s="31"/>
      <c r="R32" s="31" t="s">
        <v>45</v>
      </c>
    </row>
    <row r="33" spans="1:40" ht="15.75" thickBot="1" x14ac:dyDescent="0.3">
      <c r="A33" s="56" t="s">
        <v>59</v>
      </c>
      <c r="B33" s="28">
        <f>(B30/P45%)</f>
        <v>17.729689502363673</v>
      </c>
      <c r="C33" s="29">
        <f>(C30/P45%)</f>
        <v>17.45232598228289</v>
      </c>
      <c r="D33" s="30">
        <f>(D30/P45%)</f>
        <v>17.317043596083419</v>
      </c>
      <c r="E33" s="29">
        <f>(E30/P45%)</f>
        <v>23.923095262222002</v>
      </c>
      <c r="F33" s="29">
        <f>(F30/P45%)</f>
        <v>23.773985262782467</v>
      </c>
      <c r="G33" s="30">
        <f>(G30/P45%)</f>
        <v>23.606997573860472</v>
      </c>
      <c r="H33" s="29">
        <f>(H30/P45%)</f>
        <v>23.960323909569162</v>
      </c>
      <c r="I33" s="29">
        <f>(I30/P45%)</f>
        <v>23.811645993587987</v>
      </c>
      <c r="J33" s="30">
        <f>(J30/P45%)</f>
        <v>23.644760944101581</v>
      </c>
      <c r="K33" s="15"/>
      <c r="L33" s="28">
        <f>($L$30/$P$45%)</f>
        <v>18.055870131370174</v>
      </c>
      <c r="M33" s="103">
        <f>($M$30/$P$45%)</f>
        <v>24.187265926490905</v>
      </c>
      <c r="N33" s="104"/>
      <c r="P33" s="8">
        <f>(84.665-(0.1179*S8))</f>
        <v>33.500585716658357</v>
      </c>
      <c r="Q33" s="8"/>
      <c r="R33" s="8">
        <v>47.4</v>
      </c>
    </row>
    <row r="34" spans="1:40" ht="15.75" thickBot="1" x14ac:dyDescent="0.3">
      <c r="A34" s="58" t="s">
        <v>58</v>
      </c>
      <c r="B34" s="24">
        <f>SUM(B32:B33)</f>
        <v>28.440957107997477</v>
      </c>
      <c r="C34" s="25">
        <f t="shared" ref="C34:L34" si="11">SUM(C32:C33)</f>
        <v>28.163593587916694</v>
      </c>
      <c r="D34" s="25">
        <f t="shared" si="11"/>
        <v>28.028311201717223</v>
      </c>
      <c r="E34" s="24">
        <f t="shared" si="11"/>
        <v>34.634362867855806</v>
      </c>
      <c r="F34" s="25">
        <f t="shared" si="11"/>
        <v>34.485252868416268</v>
      </c>
      <c r="G34" s="25">
        <f t="shared" si="11"/>
        <v>34.318265179494276</v>
      </c>
      <c r="H34" s="24">
        <f t="shared" si="11"/>
        <v>34.671591515202962</v>
      </c>
      <c r="I34" s="25">
        <f t="shared" si="11"/>
        <v>34.522913599221795</v>
      </c>
      <c r="J34" s="26">
        <f t="shared" si="11"/>
        <v>34.356028549735385</v>
      </c>
      <c r="K34" s="13"/>
      <c r="L34" s="24">
        <f t="shared" si="11"/>
        <v>28.767137737003978</v>
      </c>
      <c r="M34" s="100">
        <f>SUM(M32:M33)</f>
        <v>34.898533532124709</v>
      </c>
      <c r="N34" s="101"/>
    </row>
    <row r="35" spans="1:40" ht="15.75" thickBot="1" x14ac:dyDescent="0.3">
      <c r="P35" s="117" t="s">
        <v>41</v>
      </c>
      <c r="Q35" s="117"/>
      <c r="R35" s="117"/>
      <c r="S35" s="117"/>
      <c r="T35" s="117"/>
      <c r="U35" s="117"/>
      <c r="V35" s="117"/>
      <c r="W35" s="117"/>
      <c r="X35" s="117"/>
      <c r="Y35" s="117"/>
    </row>
    <row r="36" spans="1:40" ht="15.75" thickBot="1" x14ac:dyDescent="0.3">
      <c r="A36" s="54" t="s">
        <v>62</v>
      </c>
      <c r="B36" s="75">
        <f>(13.5*R3)/1000</f>
        <v>7.02</v>
      </c>
      <c r="C36" s="77"/>
      <c r="D36" s="77"/>
      <c r="E36" s="77"/>
      <c r="F36" s="77"/>
      <c r="G36" s="77"/>
      <c r="H36" s="77"/>
      <c r="I36" s="77"/>
      <c r="J36" s="79"/>
      <c r="L36" s="75">
        <f>(13.5*R3)/1000</f>
        <v>7.02</v>
      </c>
      <c r="M36" s="77"/>
      <c r="N36" s="79"/>
      <c r="P36" s="93" t="s">
        <v>54</v>
      </c>
      <c r="Q36" s="94"/>
      <c r="R36" s="94"/>
      <c r="S36" s="94"/>
      <c r="T36" s="94"/>
      <c r="U36" s="94"/>
      <c r="V36" s="94"/>
      <c r="W36" s="94"/>
      <c r="X36" s="95"/>
      <c r="Y36" s="117" t="s">
        <v>46</v>
      </c>
    </row>
    <row r="37" spans="1:40" ht="15.75" thickBot="1" x14ac:dyDescent="0.3">
      <c r="A37" s="50" t="s">
        <v>63</v>
      </c>
      <c r="B37" s="22">
        <f>($P$16*(38.6*S14^-0.36))</f>
        <v>6.2198493478107153</v>
      </c>
      <c r="C37" s="11">
        <f>($P$16*(38.6*V14^-0.36))</f>
        <v>6.1496364172904183</v>
      </c>
      <c r="D37" s="11">
        <f>($P$16*(38.6*Y14^-0.36))</f>
        <v>6.1152772613474049</v>
      </c>
      <c r="E37" s="22">
        <f>($P$16*(25.4*T14^-0.25))</f>
        <v>8.0190069329884555</v>
      </c>
      <c r="F37" s="11">
        <f>($P$16*(25.4*W14^-0.25))</f>
        <v>7.9799321353699266</v>
      </c>
      <c r="G37" s="12">
        <f>($P$16*(25.4*Z14^-0.25))</f>
        <v>7.936108725624984</v>
      </c>
      <c r="H37" s="11">
        <f>($P$16*(25.4*U14^-0.25))</f>
        <v>8.028754508921832</v>
      </c>
      <c r="I37" s="11">
        <f>($P$16*(25.4*X14^-0.25))</f>
        <v>7.9898063093992731</v>
      </c>
      <c r="J37" s="12">
        <f>($P$16*(25.4*AA14^-0.25))</f>
        <v>7.9460250719847627</v>
      </c>
      <c r="L37" s="22">
        <f>($R$8*(38.6*Q8^-0.36))</f>
        <v>6.3020278234002696</v>
      </c>
      <c r="M37" s="77">
        <f>($R$8*(25.4*Q8^-0.25))</f>
        <v>8.0881033190843006</v>
      </c>
      <c r="N37" s="79"/>
      <c r="P37" s="117" t="s">
        <v>47</v>
      </c>
      <c r="Q37" s="117"/>
      <c r="R37" s="117"/>
      <c r="S37" s="117"/>
      <c r="T37" s="117"/>
      <c r="U37" s="117"/>
      <c r="V37" s="117"/>
      <c r="W37" s="117"/>
      <c r="X37" s="117"/>
      <c r="Y37" s="117"/>
    </row>
    <row r="38" spans="1:40" ht="15.75" thickBot="1" x14ac:dyDescent="0.3">
      <c r="A38" s="50" t="s">
        <v>64</v>
      </c>
      <c r="B38" s="13">
        <f>($B$36+B37)</f>
        <v>13.239849347810715</v>
      </c>
      <c r="C38" s="5">
        <f t="shared" ref="C38:J38" si="12">($B$36+C37)</f>
        <v>13.169636417290418</v>
      </c>
      <c r="D38" s="5">
        <f t="shared" si="12"/>
        <v>13.135277261347404</v>
      </c>
      <c r="E38" s="13">
        <f t="shared" si="12"/>
        <v>15.039006932988455</v>
      </c>
      <c r="F38" s="5">
        <f>($B$36+F37)</f>
        <v>14.999932135369926</v>
      </c>
      <c r="G38" s="14">
        <f t="shared" si="12"/>
        <v>14.956108725624983</v>
      </c>
      <c r="H38" s="5">
        <f t="shared" si="12"/>
        <v>15.048754508921832</v>
      </c>
      <c r="I38" s="5">
        <f t="shared" si="12"/>
        <v>15.009806309399274</v>
      </c>
      <c r="J38" s="14">
        <f t="shared" si="12"/>
        <v>14.966025071984763</v>
      </c>
      <c r="L38" s="13">
        <f>($L$36+L37)</f>
        <v>13.322027823400269</v>
      </c>
      <c r="M38" s="106">
        <f>($L$36+M37)</f>
        <v>15.1081033190843</v>
      </c>
      <c r="N38" s="107"/>
      <c r="P38" s="117" t="s">
        <v>28</v>
      </c>
      <c r="Q38" s="117"/>
      <c r="R38" s="117"/>
      <c r="S38" s="117" t="s">
        <v>29</v>
      </c>
      <c r="T38" s="117"/>
      <c r="U38" s="117"/>
      <c r="V38" s="117" t="s">
        <v>30</v>
      </c>
      <c r="W38" s="117"/>
      <c r="X38" s="117"/>
      <c r="Y38" s="117"/>
    </row>
    <row r="39" spans="1:40" ht="15.75" thickBot="1" x14ac:dyDescent="0.3">
      <c r="A39" s="51" t="s">
        <v>65</v>
      </c>
      <c r="B39" s="28">
        <f t="shared" ref="B39:J39" si="13">($B$36/$Q$45%)</f>
        <v>10.353982300884956</v>
      </c>
      <c r="C39" s="29">
        <f t="shared" si="13"/>
        <v>10.353982300884956</v>
      </c>
      <c r="D39" s="29">
        <f t="shared" si="13"/>
        <v>10.353982300884956</v>
      </c>
      <c r="E39" s="28">
        <f t="shared" si="13"/>
        <v>10.353982300884956</v>
      </c>
      <c r="F39" s="29">
        <f t="shared" si="13"/>
        <v>10.353982300884956</v>
      </c>
      <c r="G39" s="30">
        <f t="shared" si="13"/>
        <v>10.353982300884956</v>
      </c>
      <c r="H39" s="29">
        <f t="shared" si="13"/>
        <v>10.353982300884956</v>
      </c>
      <c r="I39" s="29">
        <f t="shared" si="13"/>
        <v>10.353982300884956</v>
      </c>
      <c r="J39" s="30">
        <f t="shared" si="13"/>
        <v>10.353982300884956</v>
      </c>
      <c r="L39" s="28">
        <f>($L$36/$Q$45%)</f>
        <v>10.353982300884956</v>
      </c>
      <c r="M39" s="103">
        <f>($L$36/$Q$45%)</f>
        <v>10.353982300884956</v>
      </c>
      <c r="N39" s="104"/>
      <c r="P39" s="34" t="s">
        <v>2</v>
      </c>
      <c r="Q39" s="34" t="s">
        <v>26</v>
      </c>
      <c r="R39" s="34" t="s">
        <v>27</v>
      </c>
      <c r="S39" s="34" t="s">
        <v>2</v>
      </c>
      <c r="T39" s="34" t="s">
        <v>26</v>
      </c>
      <c r="U39" s="34" t="s">
        <v>27</v>
      </c>
      <c r="V39" s="34" t="s">
        <v>2</v>
      </c>
      <c r="W39" s="34" t="s">
        <v>26</v>
      </c>
      <c r="X39" s="34" t="s">
        <v>27</v>
      </c>
      <c r="Y39" s="117"/>
    </row>
    <row r="40" spans="1:40" ht="15.75" thickBot="1" x14ac:dyDescent="0.3">
      <c r="A40" s="51" t="s">
        <v>66</v>
      </c>
      <c r="B40" s="28">
        <f t="shared" ref="B40:J40" si="14">(B37/$Q$45%)</f>
        <v>9.1738190970659534</v>
      </c>
      <c r="C40" s="29">
        <f t="shared" si="14"/>
        <v>9.0702602024932428</v>
      </c>
      <c r="D40" s="29">
        <f t="shared" si="14"/>
        <v>9.0195829813383561</v>
      </c>
      <c r="E40" s="28">
        <f t="shared" si="14"/>
        <v>11.827443853965274</v>
      </c>
      <c r="F40" s="29">
        <f t="shared" si="14"/>
        <v>11.769811409100187</v>
      </c>
      <c r="G40" s="30">
        <f t="shared" si="14"/>
        <v>11.705175111541276</v>
      </c>
      <c r="H40" s="29">
        <f t="shared" si="14"/>
        <v>11.841820809619222</v>
      </c>
      <c r="I40" s="29">
        <f t="shared" si="14"/>
        <v>11.784375087609549</v>
      </c>
      <c r="J40" s="30">
        <f t="shared" si="14"/>
        <v>11.71980099112797</v>
      </c>
      <c r="L40" s="28">
        <f>(L37/$Q$45%)</f>
        <v>9.2950262882009884</v>
      </c>
      <c r="M40" s="103">
        <f>(M37/$Q$45%)</f>
        <v>11.929355927852951</v>
      </c>
      <c r="N40" s="104"/>
      <c r="P40" s="8">
        <f t="shared" ref="P40:X40" si="15">(84.665-(0.1179*S18))</f>
        <v>31.600681414509978</v>
      </c>
      <c r="Q40" s="8">
        <f t="shared" si="15"/>
        <v>31.714213831789273</v>
      </c>
      <c r="R40" s="8">
        <f t="shared" si="15"/>
        <v>31.970892553376686</v>
      </c>
      <c r="S40" s="8">
        <f t="shared" si="15"/>
        <v>29.900614502585583</v>
      </c>
      <c r="T40" s="8">
        <f t="shared" si="15"/>
        <v>30.669449093926779</v>
      </c>
      <c r="U40" s="8">
        <f t="shared" si="15"/>
        <v>30.935875538483067</v>
      </c>
      <c r="V40" s="8">
        <f t="shared" si="15"/>
        <v>29.041623154322728</v>
      </c>
      <c r="W40" s="8">
        <f t="shared" si="15"/>
        <v>29.466874183426995</v>
      </c>
      <c r="X40" s="8">
        <f t="shared" si="15"/>
        <v>29.741899719652167</v>
      </c>
      <c r="Y40" s="8">
        <v>47.4</v>
      </c>
    </row>
    <row r="41" spans="1:40" ht="15.75" thickBot="1" x14ac:dyDescent="0.3">
      <c r="A41" s="52" t="s">
        <v>67</v>
      </c>
      <c r="B41" s="21">
        <f>SUM(B39:B40)</f>
        <v>19.52780139795091</v>
      </c>
      <c r="C41" s="20">
        <f t="shared" ref="C41:J41" si="16">SUM(C39:C40)</f>
        <v>19.424242503378199</v>
      </c>
      <c r="D41" s="20">
        <f t="shared" si="16"/>
        <v>19.373565282223311</v>
      </c>
      <c r="E41" s="21">
        <f t="shared" si="16"/>
        <v>22.181426154850229</v>
      </c>
      <c r="F41" s="20">
        <f t="shared" si="16"/>
        <v>22.123793709985144</v>
      </c>
      <c r="G41" s="19">
        <f t="shared" si="16"/>
        <v>22.059157412426231</v>
      </c>
      <c r="H41" s="20">
        <f t="shared" si="16"/>
        <v>22.19580311050418</v>
      </c>
      <c r="I41" s="20">
        <f t="shared" si="16"/>
        <v>22.138357388494505</v>
      </c>
      <c r="J41" s="19">
        <f t="shared" si="16"/>
        <v>22.073783292012926</v>
      </c>
      <c r="L41" s="24">
        <f>SUM(L39:L40)</f>
        <v>19.649008589085945</v>
      </c>
      <c r="M41" s="100">
        <f>SUM(M39:M40)</f>
        <v>22.283338228737907</v>
      </c>
      <c r="N41" s="101"/>
    </row>
    <row r="42" spans="1:40" ht="15.75" thickBot="1" x14ac:dyDescent="0.3">
      <c r="A42" s="60" t="s">
        <v>68</v>
      </c>
      <c r="B42" s="40">
        <f>(B34/B41)</f>
        <v>1.4564341642158365</v>
      </c>
      <c r="C42" s="41">
        <f t="shared" ref="C42:J42" si="17">(C34/C41)</f>
        <v>1.4499197887906607</v>
      </c>
      <c r="D42" s="41">
        <f t="shared" si="17"/>
        <v>1.4467296438944712</v>
      </c>
      <c r="E42" s="40">
        <f t="shared" si="17"/>
        <v>1.5614128066460053</v>
      </c>
      <c r="F42" s="41">
        <f t="shared" si="17"/>
        <v>1.5587404818754942</v>
      </c>
      <c r="G42" s="42">
        <f t="shared" si="17"/>
        <v>1.5557378071096368</v>
      </c>
      <c r="H42" s="41">
        <f t="shared" si="17"/>
        <v>1.5620787111233028</v>
      </c>
      <c r="I42" s="41">
        <f t="shared" si="17"/>
        <v>1.5594162201556856</v>
      </c>
      <c r="J42" s="42">
        <f t="shared" si="17"/>
        <v>1.5564177692261121</v>
      </c>
      <c r="L42" s="40">
        <f>(L34/L41)</f>
        <v>1.4640503416026143</v>
      </c>
      <c r="M42" s="108">
        <f>(M34/M41)</f>
        <v>1.566126815196724</v>
      </c>
      <c r="N42" s="109"/>
      <c r="P42" s="96" t="s">
        <v>132</v>
      </c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8"/>
      <c r="AB42" s="45"/>
      <c r="AC42" s="45"/>
    </row>
    <row r="43" spans="1:40" ht="15.75" thickBot="1" x14ac:dyDescent="0.3">
      <c r="P43" s="111" t="s">
        <v>53</v>
      </c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3"/>
      <c r="AB43" s="45"/>
      <c r="AC43" s="45"/>
    </row>
    <row r="44" spans="1:40" ht="15.75" thickBot="1" x14ac:dyDescent="0.3">
      <c r="A44" s="54" t="s">
        <v>70</v>
      </c>
      <c r="B44" s="91">
        <f>(5.9*R3)/1000</f>
        <v>3.0680000000000001</v>
      </c>
      <c r="C44" s="110"/>
      <c r="D44" s="110"/>
      <c r="E44" s="110"/>
      <c r="F44" s="110"/>
      <c r="G44" s="110"/>
      <c r="H44" s="110"/>
      <c r="I44" s="110"/>
      <c r="J44" s="92"/>
      <c r="L44" s="91">
        <f>(5.9*R3)/1000</f>
        <v>3.0680000000000001</v>
      </c>
      <c r="M44" s="110"/>
      <c r="N44" s="92"/>
      <c r="P44" s="34" t="s">
        <v>60</v>
      </c>
      <c r="Q44" s="34" t="s">
        <v>61</v>
      </c>
      <c r="R44" s="34" t="s">
        <v>69</v>
      </c>
      <c r="S44" s="34" t="s">
        <v>76</v>
      </c>
      <c r="T44" s="34" t="s">
        <v>43</v>
      </c>
      <c r="U44" s="34" t="s">
        <v>83</v>
      </c>
      <c r="V44" s="34" t="s">
        <v>96</v>
      </c>
      <c r="W44" s="46" t="s">
        <v>101</v>
      </c>
      <c r="X44" s="34" t="s">
        <v>97</v>
      </c>
      <c r="Y44" s="34" t="s">
        <v>98</v>
      </c>
      <c r="Z44" s="34" t="s">
        <v>99</v>
      </c>
      <c r="AA44" s="34" t="s">
        <v>100</v>
      </c>
    </row>
    <row r="45" spans="1:40" ht="15.75" thickBot="1" x14ac:dyDescent="0.3">
      <c r="A45" s="50" t="s">
        <v>71</v>
      </c>
      <c r="B45" s="22">
        <f>($P$16*(0.3466*S14^0.0113))</f>
        <v>0.53974328241437664</v>
      </c>
      <c r="C45" s="11">
        <f>($P$16*(0.3466*V14^0.0113))</f>
        <v>0.53993565389426235</v>
      </c>
      <c r="D45" s="11">
        <f>($P$16*(0.3466*Y14^0.0113))</f>
        <v>0.54003061926350027</v>
      </c>
      <c r="E45" s="22">
        <f>($P$16*(1.0597*T14^-0.2386))</f>
        <v>0.35867961489326372</v>
      </c>
      <c r="F45" s="11">
        <f>($P$16*(1.0597*W14^-0.2386))</f>
        <v>0.35701136308956311</v>
      </c>
      <c r="G45" s="12">
        <f>($P$16*(1.0597*Z14^-0.2386))</f>
        <v>0.35513993166948643</v>
      </c>
      <c r="H45" s="11">
        <f>($P$16*(1.0597*U14^-0.2386))</f>
        <v>0.35909571816644809</v>
      </c>
      <c r="I45" s="11">
        <f>($P$16*(1.0597*X14^-0.2386))</f>
        <v>0.35743296425420557</v>
      </c>
      <c r="J45" s="12">
        <f>($P$16*(1.0597*AA14^-0.2386))</f>
        <v>0.35556343969864379</v>
      </c>
      <c r="L45" s="13">
        <f>($R$8*(0.3466*Q8^0.0113))</f>
        <v>0.53952095214278839</v>
      </c>
      <c r="M45" s="106">
        <f>($R$8*(1.0597*Q8^-0.2386))</f>
        <v>0.3616286965376318</v>
      </c>
      <c r="N45" s="107"/>
      <c r="P45" s="8">
        <v>56.8</v>
      </c>
      <c r="Q45" s="8">
        <v>67.8</v>
      </c>
      <c r="R45" s="8">
        <v>35.5</v>
      </c>
      <c r="S45" s="8">
        <v>37.1</v>
      </c>
      <c r="T45" s="8">
        <v>48.4</v>
      </c>
      <c r="U45" s="8">
        <v>77.3</v>
      </c>
      <c r="V45" s="8">
        <v>73.5</v>
      </c>
      <c r="W45" s="8">
        <v>86.8</v>
      </c>
      <c r="X45" s="8">
        <v>73.400000000000006</v>
      </c>
      <c r="Y45" s="8">
        <v>43.9</v>
      </c>
      <c r="Z45" s="8">
        <v>48.7</v>
      </c>
      <c r="AA45" s="8">
        <v>66.8</v>
      </c>
    </row>
    <row r="46" spans="1:40" ht="15.75" thickBot="1" x14ac:dyDescent="0.3">
      <c r="A46" s="50" t="s">
        <v>72</v>
      </c>
      <c r="B46" s="13">
        <f>($B$44+B45)</f>
        <v>3.6077432824143765</v>
      </c>
      <c r="C46" s="5">
        <f t="shared" ref="C46:J46" si="18">($B$44+C45)</f>
        <v>3.6079356538942626</v>
      </c>
      <c r="D46" s="5">
        <f t="shared" si="18"/>
        <v>3.6080306192635003</v>
      </c>
      <c r="E46" s="13">
        <f t="shared" si="18"/>
        <v>3.4266796148932639</v>
      </c>
      <c r="F46" s="5">
        <f t="shared" si="18"/>
        <v>3.4250113630895633</v>
      </c>
      <c r="G46" s="14">
        <f t="shared" si="18"/>
        <v>3.4231399316694864</v>
      </c>
      <c r="H46" s="5">
        <f t="shared" si="18"/>
        <v>3.4270957181664481</v>
      </c>
      <c r="I46" s="5">
        <f t="shared" si="18"/>
        <v>3.4254329642542056</v>
      </c>
      <c r="J46" s="14">
        <f t="shared" si="18"/>
        <v>3.4235634396986439</v>
      </c>
      <c r="L46" s="13">
        <f>($L$44+L45)</f>
        <v>3.6075209521427887</v>
      </c>
      <c r="M46" s="106">
        <f>($L$44+M45)</f>
        <v>3.4296286965376317</v>
      </c>
      <c r="N46" s="107"/>
    </row>
    <row r="47" spans="1:40" ht="15.75" thickBot="1" x14ac:dyDescent="0.3">
      <c r="A47" s="51" t="s">
        <v>73</v>
      </c>
      <c r="B47" s="28">
        <f t="shared" ref="B47:J47" si="19">($B$44/$R$45%)</f>
        <v>8.6422535211267615</v>
      </c>
      <c r="C47" s="29">
        <f t="shared" si="19"/>
        <v>8.6422535211267615</v>
      </c>
      <c r="D47" s="29">
        <f t="shared" si="19"/>
        <v>8.6422535211267615</v>
      </c>
      <c r="E47" s="28">
        <f t="shared" si="19"/>
        <v>8.6422535211267615</v>
      </c>
      <c r="F47" s="29">
        <f t="shared" si="19"/>
        <v>8.6422535211267615</v>
      </c>
      <c r="G47" s="30">
        <f t="shared" si="19"/>
        <v>8.6422535211267615</v>
      </c>
      <c r="H47" s="29">
        <f t="shared" si="19"/>
        <v>8.6422535211267615</v>
      </c>
      <c r="I47" s="29">
        <f t="shared" si="19"/>
        <v>8.6422535211267615</v>
      </c>
      <c r="J47" s="30">
        <f t="shared" si="19"/>
        <v>8.6422535211267615</v>
      </c>
      <c r="L47" s="28">
        <f>($L$44/$R$45%)</f>
        <v>8.6422535211267615</v>
      </c>
      <c r="M47" s="103">
        <f>($L$44/$R$45%)</f>
        <v>8.6422535211267615</v>
      </c>
      <c r="N47" s="104"/>
      <c r="P47" s="81" t="s">
        <v>148</v>
      </c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3"/>
      <c r="AI47" s="84" t="s">
        <v>149</v>
      </c>
      <c r="AJ47" s="85"/>
      <c r="AK47" s="85"/>
      <c r="AL47" s="85"/>
      <c r="AM47" s="85"/>
      <c r="AN47" s="86"/>
    </row>
    <row r="48" spans="1:40" ht="15.75" thickBot="1" x14ac:dyDescent="0.3">
      <c r="A48" s="51" t="s">
        <v>74</v>
      </c>
      <c r="B48" s="28">
        <f t="shared" ref="B48:J48" si="20">(B45/$R$45%)</f>
        <v>1.5204036124348639</v>
      </c>
      <c r="C48" s="29">
        <f t="shared" si="20"/>
        <v>1.5209455039274997</v>
      </c>
      <c r="D48" s="29">
        <f t="shared" si="20"/>
        <v>1.5212130120098599</v>
      </c>
      <c r="E48" s="28">
        <f t="shared" si="20"/>
        <v>1.0103651123753907</v>
      </c>
      <c r="F48" s="29">
        <f t="shared" si="20"/>
        <v>1.0056658115198962</v>
      </c>
      <c r="G48" s="30">
        <f t="shared" si="20"/>
        <v>1.0003941737168633</v>
      </c>
      <c r="H48" s="29">
        <f t="shared" si="20"/>
        <v>1.0115372342716848</v>
      </c>
      <c r="I48" s="29">
        <f t="shared" si="20"/>
        <v>1.006853420434382</v>
      </c>
      <c r="J48" s="30">
        <f t="shared" si="20"/>
        <v>1.0015871540806869</v>
      </c>
      <c r="L48" s="28">
        <f>(L45/$R$45%)</f>
        <v>1.5197773299796857</v>
      </c>
      <c r="M48" s="103">
        <f>(M45/$R$45%)</f>
        <v>1.0186723846130474</v>
      </c>
      <c r="N48" s="104"/>
      <c r="P48" s="90" t="s">
        <v>143</v>
      </c>
      <c r="Q48" s="90"/>
      <c r="R48" s="90"/>
      <c r="S48" s="90"/>
      <c r="T48" s="90"/>
      <c r="U48" s="90"/>
      <c r="V48" s="90" t="s">
        <v>144</v>
      </c>
      <c r="W48" s="90"/>
      <c r="X48" s="90"/>
      <c r="Y48" s="90"/>
      <c r="Z48" s="90"/>
      <c r="AA48" s="90"/>
      <c r="AB48" s="90" t="s">
        <v>145</v>
      </c>
      <c r="AC48" s="90"/>
      <c r="AD48" s="90"/>
      <c r="AE48" s="90"/>
      <c r="AF48" s="90"/>
      <c r="AG48" s="90"/>
      <c r="AI48" s="87"/>
      <c r="AJ48" s="88"/>
      <c r="AK48" s="88"/>
      <c r="AL48" s="88"/>
      <c r="AM48" s="88"/>
      <c r="AN48" s="89"/>
    </row>
    <row r="49" spans="1:40" ht="15.75" thickBot="1" x14ac:dyDescent="0.3">
      <c r="A49" s="53" t="s">
        <v>75</v>
      </c>
      <c r="B49" s="24">
        <f>SUM(B47:B48)</f>
        <v>10.162657133561625</v>
      </c>
      <c r="C49" s="25">
        <f t="shared" ref="C49:J49" si="21">SUM(C47:C48)</f>
        <v>10.163199025054261</v>
      </c>
      <c r="D49" s="25">
        <f t="shared" si="21"/>
        <v>10.163466533136621</v>
      </c>
      <c r="E49" s="24">
        <f t="shared" si="21"/>
        <v>9.6526186335021524</v>
      </c>
      <c r="F49" s="25">
        <f t="shared" si="21"/>
        <v>9.6479193326466586</v>
      </c>
      <c r="G49" s="26">
        <f t="shared" si="21"/>
        <v>9.6426476948436246</v>
      </c>
      <c r="H49" s="25">
        <f t="shared" si="21"/>
        <v>9.6537907553984468</v>
      </c>
      <c r="I49" s="25">
        <f t="shared" si="21"/>
        <v>9.6491069415611435</v>
      </c>
      <c r="J49" s="26">
        <f t="shared" si="21"/>
        <v>9.6438406752074481</v>
      </c>
      <c r="L49" s="24">
        <f>SUM(L47:L48)</f>
        <v>10.162030851106447</v>
      </c>
      <c r="M49" s="100">
        <f>SUM(M47:M48)</f>
        <v>9.6609259057398091</v>
      </c>
      <c r="N49" s="101"/>
      <c r="P49" s="90" t="s">
        <v>28</v>
      </c>
      <c r="Q49" s="90"/>
      <c r="R49" s="90" t="s">
        <v>29</v>
      </c>
      <c r="S49" s="90"/>
      <c r="T49" s="90" t="s">
        <v>30</v>
      </c>
      <c r="U49" s="90"/>
      <c r="V49" s="90" t="s">
        <v>28</v>
      </c>
      <c r="W49" s="90"/>
      <c r="X49" s="90" t="s">
        <v>29</v>
      </c>
      <c r="Y49" s="90"/>
      <c r="Z49" s="90" t="s">
        <v>30</v>
      </c>
      <c r="AA49" s="90"/>
      <c r="AB49" s="90" t="s">
        <v>28</v>
      </c>
      <c r="AC49" s="90"/>
      <c r="AD49" s="90" t="s">
        <v>29</v>
      </c>
      <c r="AE49" s="90"/>
      <c r="AF49" s="90" t="s">
        <v>30</v>
      </c>
      <c r="AG49" s="90"/>
      <c r="AI49" s="91" t="s">
        <v>143</v>
      </c>
      <c r="AJ49" s="92"/>
      <c r="AK49" s="91" t="s">
        <v>144</v>
      </c>
      <c r="AL49" s="92"/>
      <c r="AM49" s="91" t="s">
        <v>146</v>
      </c>
      <c r="AN49" s="92"/>
    </row>
    <row r="50" spans="1:40" ht="15.75" thickBot="1" x14ac:dyDescent="0.3">
      <c r="P50" s="69">
        <f>((120*B14)+(B21-(120*B14)*0.64)/0.8)/1000</f>
        <v>1.1904754661937564</v>
      </c>
      <c r="Q50" s="5">
        <f>(-53.07+(304.9*P50)+(90.8*$B$14)-(3.13*$B$14^2))</f>
        <v>810.93331787324746</v>
      </c>
      <c r="R50" s="22">
        <f>((120*C14)+(C21-(120*C14)*0.64)/0.8)/1000</f>
        <v>1.1908605281234468</v>
      </c>
      <c r="S50" s="12">
        <f>(-53.07+(304.9*R50)+(90.8*$C$14)-(3.13*$C$14^2))</f>
        <v>818.08467040176356</v>
      </c>
      <c r="T50" s="5">
        <f>((120*D14)+(D21-(120*D14)*0.64)/0.8)/1000</f>
        <v>1.1911272068474874</v>
      </c>
      <c r="U50" s="5">
        <f>(-53.07+(304.9*T50)+(90.8*$D$14)-(3.13*$D$14^2))</f>
        <v>821.76948788036793</v>
      </c>
      <c r="V50" s="22">
        <f>((120*E14)+(E21-(120*E14)*0.64)/0.8)/1000</f>
        <v>1.1935292965631636</v>
      </c>
      <c r="W50" s="12">
        <f>(-53.07+(304.9*V50)+(90.8*$E$14)-(3.13*$E$14^2))</f>
        <v>817.04201291324034</v>
      </c>
      <c r="X50" s="22">
        <f>((120*F14)+(F21-(120*F14)*0.64)/0.8)/1000</f>
        <v>1.1940448975838436</v>
      </c>
      <c r="Y50" s="12">
        <f>(-53.07+(304.9*X50)+(90.8*$F$14)-(3.13*$F$14^2))</f>
        <v>821.97624450314061</v>
      </c>
      <c r="Z50" s="22">
        <f>((120*G14)+(G21-(120*G14)*0.64)/0.8)/1000</f>
        <v>1.1944363608993585</v>
      </c>
      <c r="AA50" s="12">
        <f>(-53.07+(304.9*Z50)+(90.8*$G$14)-(3.13*$G$14^2))</f>
        <v>827.12228755017145</v>
      </c>
      <c r="AB50" s="22">
        <f>((120*H14)+(H21-(120*H14)*0.64)/0.8)/1000</f>
        <v>1.2019097689741518</v>
      </c>
      <c r="AC50" s="12">
        <f>(-53.07+(304.9*AB50)+(90.8*$H$14)-(3.13*$H$14^2))</f>
        <v>836.4910984613208</v>
      </c>
      <c r="AD50" s="22">
        <f>((120*I14)+(I21-(120*I14)*0.64)/0.8)/1000</f>
        <v>1.2024493951745887</v>
      </c>
      <c r="AE50" s="12">
        <f>(-53.07+(304.9*AD50)+(90.8*$I$14)-(3.13*$I$14^2))</f>
        <v>841.16913486561486</v>
      </c>
      <c r="AF50" s="22">
        <f>((120*J14)+(J21-(120*J14)*0.64)/0.8)/1000</f>
        <v>1.2030046247800106</v>
      </c>
      <c r="AG50" s="12">
        <f>(-53.07+(304.9*AF50)+(90.8*$J$14)-(3.13*$J$14^2))</f>
        <v>846.31798779608516</v>
      </c>
      <c r="AI50" s="22">
        <f>((120*L14)+(L21-(120*L14)*0.64)/0.8)/1000</f>
        <v>1.229633766761528</v>
      </c>
      <c r="AJ50" s="12">
        <f>(-53.07+(304.9*AI50)+(90.8*$L$14)-(3.13*$L$14^2))</f>
        <v>813.56949692319711</v>
      </c>
      <c r="AK50" s="22">
        <f>((120*M14)+(M21-(120*M14)*0.64)/0.8)/1000</f>
        <v>1.2298081654481607</v>
      </c>
      <c r="AL50" s="12">
        <f>(-53.07+(304.9*AK50)+(90.8*$M$14)-(3.13*$M$14^2))</f>
        <v>813.95457116994089</v>
      </c>
      <c r="AM50" s="22">
        <f>((120*M14)+(N21-(120*M14)*0.64)/0.8)/1000</f>
        <v>1.2298081654481607</v>
      </c>
      <c r="AN50" s="12">
        <f>(-53.07+(304.9*AM50)+(90.8*$M$14)-(3.13*$M$14^2))</f>
        <v>813.95457116994089</v>
      </c>
    </row>
    <row r="51" spans="1:40" ht="15.95" customHeight="1" thickBot="1" x14ac:dyDescent="0.3">
      <c r="A51" s="54" t="s">
        <v>77</v>
      </c>
      <c r="B51" s="75">
        <f>(6.3*R3)/1000</f>
        <v>3.2759999999999998</v>
      </c>
      <c r="C51" s="77"/>
      <c r="D51" s="77"/>
      <c r="E51" s="77"/>
      <c r="F51" s="77"/>
      <c r="G51" s="77"/>
      <c r="H51" s="77"/>
      <c r="I51" s="77"/>
      <c r="J51" s="79"/>
      <c r="L51" s="75">
        <f>(6.3*R3)/1000</f>
        <v>3.2759999999999998</v>
      </c>
      <c r="M51" s="77"/>
      <c r="N51" s="79"/>
      <c r="P51" s="13">
        <f>(P50+($B$21-(P50*0.64))/0.8)/1000</f>
        <v>1.0128402160680008</v>
      </c>
      <c r="Q51" s="5">
        <f>(-53.07+(304.9*P51)+(90.8*$B$14)-(3.13*$B$14^2))</f>
        <v>756.7723301099046</v>
      </c>
      <c r="R51" s="13">
        <f>(R50+($C$21-(P50*0.64))/0.8)/1000</f>
        <v>1.0093805079086695</v>
      </c>
      <c r="S51" s="14">
        <f>(-53.07+(304.9*R51)+(90.8*$C$14)-(3.13*$C$14^2))</f>
        <v>762.75141223827791</v>
      </c>
      <c r="T51" s="5">
        <f>(T50+($D$21-(T50*0.64))/0.8)/1000</f>
        <v>1.0076422135244338</v>
      </c>
      <c r="U51" s="5">
        <f>(-53.07+(304.9*T51)+(90.8*$D$14)-(3.13*$D$14^2))</f>
        <v>765.8249134161689</v>
      </c>
      <c r="V51" s="13">
        <f>(V50+($E$21-(V50*0.64))/0.8)/1000</f>
        <v>1.0130728747819224</v>
      </c>
      <c r="W51" s="14">
        <f>(-53.07+(304.9*V51)+(90.8*$E$14)-(3.13*$E$14^2))</f>
        <v>762.02084991213974</v>
      </c>
      <c r="X51" s="5">
        <f>(X50+($F$21-(X50*0.64))/0.8)/1000</f>
        <v>1.0109422453327859</v>
      </c>
      <c r="Y51" s="14">
        <f>(-53.07+(304.9*X51)+(90.8*$F$14)-(3.13*$F$14^2))</f>
        <v>766.14824583179325</v>
      </c>
      <c r="Z51" s="5">
        <f>(Z50+($G$21-(Z50*0.64))/0.8)/1000</f>
        <v>1.0085024615970395</v>
      </c>
      <c r="AA51" s="14">
        <f>(-53.07+(304.9*Z51)+(90.8*$G$14)-(3.13*$G$14^2))</f>
        <v>770.43104165289446</v>
      </c>
      <c r="AB51" s="5">
        <f>(AB50+($H$21-(AB50*0.64))/0.8)/1000</f>
        <v>1.0118974591079701</v>
      </c>
      <c r="AC51" s="14">
        <f>(-53.07+(304.9*AB51)+(90.8*$H$14)-(3.13*$H$14^2))</f>
        <v>778.55634518312206</v>
      </c>
      <c r="AD51" s="13">
        <f>(AD50+($I$21-(AD50*0.64))/0.8)/1000</f>
        <v>1.0097841253146642</v>
      </c>
      <c r="AE51" s="14">
        <f>(-53.07+(304.9*AD51)+(90.8*$I$14)-(3.13*$I$14^2))</f>
        <v>782.42549408532386</v>
      </c>
      <c r="AF51" s="13">
        <f>(AF50+($J$21-(AF50*0.64))/0.8)/1000</f>
        <v>1.0073588084825664</v>
      </c>
      <c r="AG51" s="14">
        <f>(-53.07+(304.9*AF51)+(90.8*$J$14)-(3.13*$J$14^2))</f>
        <v>786.66557840699443</v>
      </c>
      <c r="AI51" s="13">
        <f>(AI50+($L$21-(AI50*0.64))/0.8)/1000</f>
        <v>1.0569624247082618</v>
      </c>
      <c r="AJ51" s="14">
        <f>(-53.07+(304.9*AI51)+(90.8*$L$14)-(3.13*$L$14^2))</f>
        <v>760.92200473115622</v>
      </c>
      <c r="AK51" s="13">
        <f>(AK50+($M$21-(AK50*0.64))/0.8)/1000</f>
        <v>1.0569624595879992</v>
      </c>
      <c r="AL51" s="14">
        <f>(-53.07+(304.9*AK51)+(90.8*$M$14)-(3.13*$M$14^2))</f>
        <v>761.25391545317757</v>
      </c>
      <c r="AM51" s="13">
        <f>(AM50+($N$21-(AM50*0.64))/0.8)/1000</f>
        <v>1.0569624595879992</v>
      </c>
      <c r="AN51" s="14">
        <f>(-53.07+(304.9*AM51)+(90.8*$M$14)-(3.13*$M$14^2))</f>
        <v>761.25391545317757</v>
      </c>
    </row>
    <row r="52" spans="1:40" x14ac:dyDescent="0.25">
      <c r="A52" s="50" t="s">
        <v>78</v>
      </c>
      <c r="B52" s="22">
        <f>($P$16*(5.594*S14^-0.2998))</f>
        <v>1.3020960097114835</v>
      </c>
      <c r="C52" s="11">
        <f>($P$16*(5.594*V14^-0.2998))</f>
        <v>1.2898436174176249</v>
      </c>
      <c r="D52" s="11">
        <f>($P$16*(5.594*Y14^-0.2998))</f>
        <v>1.2838393156777201</v>
      </c>
      <c r="E52" s="22">
        <f>($P$16*(1.977*T14^-0.058))</f>
        <v>2.0162593496240508</v>
      </c>
      <c r="F52" s="11">
        <f>($P$16*(1.977*W14^-0.058))</f>
        <v>2.0139757249165569</v>
      </c>
      <c r="G52" s="12">
        <f>($P$16*(1.977*Z14^-0.058))</f>
        <v>2.0114043403385451</v>
      </c>
      <c r="H52" s="11">
        <f>($P$16*(1.977*U14^-0.058))</f>
        <v>2.0168276890671817</v>
      </c>
      <c r="I52" s="11">
        <f>($P$16*(1.977*X14^-0.058))</f>
        <v>2.0145536047529253</v>
      </c>
      <c r="J52" s="12">
        <f>($P$16*(1.977*AA14^-0.058))</f>
        <v>2.0119871452028484</v>
      </c>
      <c r="L52" s="22">
        <f>($R$8*(5.594*Q8^-0.2998))</f>
        <v>1.3164071017372514</v>
      </c>
      <c r="M52" s="77">
        <f>($R$8*(1.977*Q8^-0.058))</f>
        <v>2.0202766752980743</v>
      </c>
      <c r="N52" s="79"/>
      <c r="P52" s="13">
        <f t="shared" ref="P52:P115" si="22">(P51+($B$21-(P51*0.64))/0.8)/1000</f>
        <v>1.0128046890179756</v>
      </c>
      <c r="Q52" s="5">
        <f t="shared" ref="Q52:Q115" si="23">(-53.07+(304.9*P52)+(90.8*$B$14)-(3.13*$B$14^2))</f>
        <v>756.76149791235196</v>
      </c>
      <c r="R52" s="13">
        <f t="shared" ref="R52:R115" si="24">(R51+($C$21-(P51*0.64))/0.8)/1000</f>
        <v>1.0093411360885551</v>
      </c>
      <c r="S52" s="14">
        <f t="shared" ref="S52:S115" si="25">(-53.07+(304.9*R52)+(90.8*$C$14)-(3.13*$C$14^2))</f>
        <v>762.73940777032499</v>
      </c>
      <c r="T52" s="5">
        <f t="shared" ref="T52:T115" si="26">(T51+($D$21-(T51*0.64))/0.8)/1000</f>
        <v>1.0076055165257694</v>
      </c>
      <c r="U52" s="5">
        <f t="shared" ref="U52:U115" si="27">(-53.07+(304.9*T52)+(90.8*$D$14)-(3.13*$D$14^2))</f>
        <v>765.81372450127617</v>
      </c>
      <c r="V52" s="13">
        <f t="shared" ref="V52:V115" si="28">(V51+($E$21-(V51*0.64))/0.8)/1000</f>
        <v>1.0130367834975662</v>
      </c>
      <c r="W52" s="14">
        <f t="shared" ref="W52:W115" si="29">(-53.07+(304.9*V52)+(90.8*$E$14)-(3.13*$E$14^2))</f>
        <v>762.00984567953969</v>
      </c>
      <c r="X52" s="13">
        <f t="shared" ref="X52:X115" si="30">(X51+($F$21-(X51*0.64))/0.8)/1000</f>
        <v>1.0109056248023356</v>
      </c>
      <c r="Y52" s="14">
        <f t="shared" ref="Y52:Y115" si="31">(-53.07+(304.9*X52)+(90.8*$F$14)-(3.13*$F$14^2))</f>
        <v>766.13708023205891</v>
      </c>
      <c r="Z52" s="13">
        <f t="shared" ref="Z52:Z115" si="32">(Z51+($G$21-(Z51*0.64))/0.8)/1000</f>
        <v>1.0084652748171792</v>
      </c>
      <c r="AA52" s="14">
        <f>(-53.07+(304.9*Z52)+(90.8*$G$14)-(3.13*$G$14^2))</f>
        <v>770.41970340371495</v>
      </c>
      <c r="AB52" s="5">
        <f t="shared" ref="AB52:AB115" si="33">(AB51+($H$21-(AB51*0.64))/0.8)/1000</f>
        <v>1.0118594566459969</v>
      </c>
      <c r="AC52" s="14">
        <f t="shared" ref="AC52:AC115" si="34">(-53.07+(304.9*AB52)+(90.8*$H$14)-(3.13*$H$14^2))</f>
        <v>778.54475823246639</v>
      </c>
      <c r="AD52" s="13">
        <f t="shared" ref="AD52:AD115" si="35">(AD51+($I$21-(AD51*0.64))/0.8)/1000</f>
        <v>1.0097455922606922</v>
      </c>
      <c r="AE52" s="14">
        <f t="shared" ref="AE52:AE115" si="36">(-53.07+(304.9*AD52)+(90.8*$I$14)-(3.13*$I$14^2))</f>
        <v>782.41374535716784</v>
      </c>
      <c r="AF52" s="13">
        <f t="shared" ref="AF52:AF115" si="37">(AF51+($J$21-(AF51*0.64))/0.8)/1000</f>
        <v>1.0073196793193069</v>
      </c>
      <c r="AG52" s="14">
        <f t="shared" ref="AG52:AG115" si="38">(-53.07+(304.9*AF52)+(90.8*$J$14)-(3.13*$J$14^2))</f>
        <v>786.6536479251165</v>
      </c>
      <c r="AI52" s="13">
        <f t="shared" ref="AI52:AI115" si="39">(AI51+($L$21-(AI51*0.64))/0.8)/1000</f>
        <v>1.0569278904398511</v>
      </c>
      <c r="AJ52" s="14">
        <f t="shared" ref="AJ52:AJ115" si="40">(-53.07+(304.9*AI52)+(90.8*$L$14)-(3.13*$L$14^2))</f>
        <v>760.91147523271775</v>
      </c>
      <c r="AK52" s="13">
        <f t="shared" ref="AK52:AK115" si="41">(AK51+($M$21-(AK51*0.64))/0.8)/1000</f>
        <v>1.0569278904468271</v>
      </c>
      <c r="AL52" s="14">
        <f t="shared" ref="AL52:AL115" si="42">(-53.07+(304.9*AK52)+(90.8*$M$14)-(3.13*$M$14^2))</f>
        <v>761.24337532203413</v>
      </c>
      <c r="AM52" s="13">
        <f t="shared" ref="AM52:AM115" si="43">(AM51+($N$21-(AM51*0.64))/0.8)/1000</f>
        <v>1.0569278904468271</v>
      </c>
      <c r="AN52" s="14">
        <f t="shared" ref="AN52:AN115" si="44">(-53.07+(304.9*AM52)+(90.8*$M$14)-(3.13*$M$14^2))</f>
        <v>761.24337532203413</v>
      </c>
    </row>
    <row r="53" spans="1:40" x14ac:dyDescent="0.25">
      <c r="A53" s="50" t="s">
        <v>79</v>
      </c>
      <c r="B53" s="13">
        <f>($B$51+B52)</f>
        <v>4.5780960097114836</v>
      </c>
      <c r="C53" s="5">
        <f t="shared" ref="C53:J53" si="45">($B$51+C52)</f>
        <v>4.5658436174176247</v>
      </c>
      <c r="D53" s="5">
        <f t="shared" si="45"/>
        <v>4.5598393156777197</v>
      </c>
      <c r="E53" s="13">
        <f t="shared" si="45"/>
        <v>5.2922593496240502</v>
      </c>
      <c r="F53" s="5">
        <f t="shared" si="45"/>
        <v>5.2899757249165571</v>
      </c>
      <c r="G53" s="14">
        <f t="shared" si="45"/>
        <v>5.2874043403385453</v>
      </c>
      <c r="H53" s="5">
        <f t="shared" si="45"/>
        <v>5.292827689067181</v>
      </c>
      <c r="I53" s="5">
        <f t="shared" si="45"/>
        <v>5.2905536047529251</v>
      </c>
      <c r="J53" s="14">
        <f t="shared" si="45"/>
        <v>5.2879871452028482</v>
      </c>
      <c r="L53" s="13">
        <f>($L$51+L52)</f>
        <v>4.5924071017372512</v>
      </c>
      <c r="M53" s="106">
        <f>($L$51+M52)</f>
        <v>5.2962766752980741</v>
      </c>
      <c r="N53" s="107"/>
      <c r="P53" s="13">
        <f t="shared" si="22"/>
        <v>1.0128046819125658</v>
      </c>
      <c r="Q53" s="5">
        <f t="shared" si="23"/>
        <v>756.76149574591238</v>
      </c>
      <c r="R53" s="13">
        <f t="shared" si="24"/>
        <v>1.009341125138375</v>
      </c>
      <c r="S53" s="14">
        <f t="shared" si="25"/>
        <v>762.73940443161518</v>
      </c>
      <c r="T53" s="5">
        <f t="shared" si="26"/>
        <v>1.0076055091863698</v>
      </c>
      <c r="U53" s="5">
        <f t="shared" si="27"/>
        <v>765.81372226349322</v>
      </c>
      <c r="V53" s="13">
        <f t="shared" si="28"/>
        <v>1.0130367762793093</v>
      </c>
      <c r="W53" s="14">
        <f t="shared" si="29"/>
        <v>762.00984347869303</v>
      </c>
      <c r="X53" s="13">
        <f t="shared" si="30"/>
        <v>1.0109056174782296</v>
      </c>
      <c r="Y53" s="14">
        <f t="shared" si="31"/>
        <v>766.13707799893905</v>
      </c>
      <c r="Z53" s="13">
        <f t="shared" si="32"/>
        <v>1.0084652673798231</v>
      </c>
      <c r="AA53" s="14">
        <f t="shared" ref="AA53:AA115" si="46">(-53.07+(304.9*Z53)+(90.8*$G$14)-(3.13*$G$14^2))</f>
        <v>770.41970113606521</v>
      </c>
      <c r="AB53" s="5">
        <f t="shared" si="33"/>
        <v>1.0118594490455046</v>
      </c>
      <c r="AC53" s="14">
        <f t="shared" si="34"/>
        <v>778.54475591507628</v>
      </c>
      <c r="AD53" s="13">
        <f t="shared" si="35"/>
        <v>1.0097455845540815</v>
      </c>
      <c r="AE53" s="14">
        <f t="shared" si="36"/>
        <v>782.41374300742223</v>
      </c>
      <c r="AF53" s="13">
        <f t="shared" si="37"/>
        <v>1.0073196714934742</v>
      </c>
      <c r="AG53" s="14">
        <f t="shared" si="38"/>
        <v>786.65364553902009</v>
      </c>
      <c r="AI53" s="13">
        <f t="shared" si="39"/>
        <v>1.0569278835329974</v>
      </c>
      <c r="AJ53" s="14">
        <f t="shared" si="40"/>
        <v>760.91147312681812</v>
      </c>
      <c r="AK53" s="13">
        <f t="shared" si="41"/>
        <v>1.0569278835329989</v>
      </c>
      <c r="AL53" s="14">
        <f t="shared" si="42"/>
        <v>761.24337321400799</v>
      </c>
      <c r="AM53" s="13">
        <f t="shared" si="43"/>
        <v>1.0569278835329989</v>
      </c>
      <c r="AN53" s="14">
        <f t="shared" si="44"/>
        <v>761.24337321400799</v>
      </c>
    </row>
    <row r="54" spans="1:40" x14ac:dyDescent="0.25">
      <c r="A54" s="51" t="s">
        <v>80</v>
      </c>
      <c r="B54" s="28">
        <f t="shared" ref="B54:J54" si="47">($B$51/$S$45%)</f>
        <v>8.8301886792452819</v>
      </c>
      <c r="C54" s="29">
        <f t="shared" si="47"/>
        <v>8.8301886792452819</v>
      </c>
      <c r="D54" s="29">
        <f t="shared" si="47"/>
        <v>8.8301886792452819</v>
      </c>
      <c r="E54" s="28">
        <f t="shared" si="47"/>
        <v>8.8301886792452819</v>
      </c>
      <c r="F54" s="29">
        <f t="shared" si="47"/>
        <v>8.8301886792452819</v>
      </c>
      <c r="G54" s="30">
        <f t="shared" si="47"/>
        <v>8.8301886792452819</v>
      </c>
      <c r="H54" s="29">
        <f t="shared" si="47"/>
        <v>8.8301886792452819</v>
      </c>
      <c r="I54" s="29">
        <f t="shared" si="47"/>
        <v>8.8301886792452819</v>
      </c>
      <c r="J54" s="30">
        <f t="shared" si="47"/>
        <v>8.8301886792452819</v>
      </c>
      <c r="L54" s="28">
        <f>($L$51/$S$45%)</f>
        <v>8.8301886792452819</v>
      </c>
      <c r="M54" s="103">
        <f>($L$51/$S$45%)</f>
        <v>8.8301886792452819</v>
      </c>
      <c r="N54" s="104"/>
      <c r="P54" s="13">
        <f t="shared" si="22"/>
        <v>1.0128046819111447</v>
      </c>
      <c r="Q54" s="5">
        <f t="shared" si="23"/>
        <v>756.76149574547924</v>
      </c>
      <c r="R54" s="13">
        <f t="shared" si="24"/>
        <v>1.0093411251331093</v>
      </c>
      <c r="S54" s="14">
        <f t="shared" si="25"/>
        <v>762.73940443000959</v>
      </c>
      <c r="T54" s="5">
        <f t="shared" si="26"/>
        <v>1.0076055091849019</v>
      </c>
      <c r="U54" s="5">
        <f t="shared" si="27"/>
        <v>765.81372226304563</v>
      </c>
      <c r="V54" s="13">
        <f t="shared" si="28"/>
        <v>1.0130367762778658</v>
      </c>
      <c r="W54" s="14">
        <f t="shared" si="29"/>
        <v>762.00984347825306</v>
      </c>
      <c r="X54" s="13">
        <f t="shared" si="30"/>
        <v>1.0109056174767646</v>
      </c>
      <c r="Y54" s="14">
        <f t="shared" si="31"/>
        <v>766.13707799849226</v>
      </c>
      <c r="Z54" s="13">
        <f t="shared" si="32"/>
        <v>1.0084652673783356</v>
      </c>
      <c r="AA54" s="14">
        <f t="shared" si="46"/>
        <v>770.4197011356116</v>
      </c>
      <c r="AB54" s="5">
        <f t="shared" si="33"/>
        <v>1.0118594490439843</v>
      </c>
      <c r="AC54" s="14">
        <f t="shared" si="34"/>
        <v>778.54475591461267</v>
      </c>
      <c r="AD54" s="13">
        <f t="shared" si="35"/>
        <v>1.00974558455254</v>
      </c>
      <c r="AE54" s="14">
        <f t="shared" si="36"/>
        <v>782.41374300695225</v>
      </c>
      <c r="AF54" s="13">
        <f t="shared" si="37"/>
        <v>1.0073196714919093</v>
      </c>
      <c r="AG54" s="14">
        <f t="shared" si="38"/>
        <v>786.65364553854306</v>
      </c>
      <c r="AI54" s="13">
        <f t="shared" si="39"/>
        <v>1.056927883531616</v>
      </c>
      <c r="AJ54" s="14">
        <f t="shared" si="40"/>
        <v>760.91147312639691</v>
      </c>
      <c r="AK54" s="13">
        <f t="shared" si="41"/>
        <v>1.056927883531616</v>
      </c>
      <c r="AL54" s="14">
        <f t="shared" si="42"/>
        <v>761.24337321358632</v>
      </c>
      <c r="AM54" s="13">
        <f t="shared" si="43"/>
        <v>1.056927883531616</v>
      </c>
      <c r="AN54" s="14">
        <f t="shared" si="44"/>
        <v>761.24337321358632</v>
      </c>
    </row>
    <row r="55" spans="1:40" x14ac:dyDescent="0.25">
      <c r="A55" s="51" t="s">
        <v>81</v>
      </c>
      <c r="B55" s="28">
        <f t="shared" ref="B55:J55" si="48">(B52/$S$45%)</f>
        <v>3.5096927485484732</v>
      </c>
      <c r="C55" s="29">
        <f t="shared" si="48"/>
        <v>3.47666743239252</v>
      </c>
      <c r="D55" s="29">
        <f t="shared" si="48"/>
        <v>3.4604833306677092</v>
      </c>
      <c r="E55" s="28">
        <f t="shared" si="48"/>
        <v>5.4346613197413767</v>
      </c>
      <c r="F55" s="29">
        <f t="shared" si="48"/>
        <v>5.4285059970796681</v>
      </c>
      <c r="G55" s="30">
        <f t="shared" si="48"/>
        <v>5.4215750413437878</v>
      </c>
      <c r="H55" s="29">
        <f t="shared" si="48"/>
        <v>5.436193231987013</v>
      </c>
      <c r="I55" s="29">
        <f t="shared" si="48"/>
        <v>5.4300636246709582</v>
      </c>
      <c r="J55" s="30">
        <f t="shared" si="48"/>
        <v>5.4231459439429877</v>
      </c>
      <c r="L55" s="28">
        <f>(L52/$S$45%)</f>
        <v>3.5482671205855834</v>
      </c>
      <c r="M55" s="103">
        <f>(M52/$S$45%)</f>
        <v>5.4454896908303887</v>
      </c>
      <c r="N55" s="104"/>
      <c r="P55" s="13">
        <f t="shared" si="22"/>
        <v>1.0128046819111443</v>
      </c>
      <c r="Q55" s="5">
        <f t="shared" si="23"/>
        <v>756.76149574547901</v>
      </c>
      <c r="R55" s="13">
        <f t="shared" si="24"/>
        <v>1.0093411251331053</v>
      </c>
      <c r="S55" s="14">
        <f t="shared" si="25"/>
        <v>762.73940443000834</v>
      </c>
      <c r="T55" s="5">
        <f t="shared" si="26"/>
        <v>1.0076055091849014</v>
      </c>
      <c r="U55" s="5">
        <f t="shared" si="27"/>
        <v>765.81372226304541</v>
      </c>
      <c r="V55" s="13">
        <f t="shared" si="28"/>
        <v>1.0130367762778654</v>
      </c>
      <c r="W55" s="14">
        <f t="shared" si="29"/>
        <v>762.00984347825283</v>
      </c>
      <c r="X55" s="13">
        <f t="shared" si="30"/>
        <v>1.0109056174767643</v>
      </c>
      <c r="Y55" s="14">
        <f t="shared" si="31"/>
        <v>766.13707799849226</v>
      </c>
      <c r="Z55" s="13">
        <f t="shared" si="32"/>
        <v>1.0084652673783354</v>
      </c>
      <c r="AA55" s="14">
        <f t="shared" si="46"/>
        <v>770.4197011356116</v>
      </c>
      <c r="AB55" s="5">
        <f t="shared" si="33"/>
        <v>1.0118594490439843</v>
      </c>
      <c r="AC55" s="14">
        <f t="shared" si="34"/>
        <v>778.54475591461267</v>
      </c>
      <c r="AD55" s="13">
        <f t="shared" si="35"/>
        <v>1.0097455845525398</v>
      </c>
      <c r="AE55" s="14">
        <f t="shared" si="36"/>
        <v>782.41374300695213</v>
      </c>
      <c r="AF55" s="13">
        <f t="shared" si="37"/>
        <v>1.0073196714919088</v>
      </c>
      <c r="AG55" s="14">
        <f t="shared" si="38"/>
        <v>786.65364553854283</v>
      </c>
      <c r="AI55" s="13">
        <f t="shared" si="39"/>
        <v>1.0569278835316158</v>
      </c>
      <c r="AJ55" s="14">
        <f t="shared" si="40"/>
        <v>760.91147312639691</v>
      </c>
      <c r="AK55" s="13">
        <f t="shared" si="41"/>
        <v>1.0569278835316158</v>
      </c>
      <c r="AL55" s="14">
        <f t="shared" si="42"/>
        <v>761.24337321358621</v>
      </c>
      <c r="AM55" s="13">
        <f t="shared" si="43"/>
        <v>1.0569278835316158</v>
      </c>
      <c r="AN55" s="14">
        <f t="shared" si="44"/>
        <v>761.24337321358621</v>
      </c>
    </row>
    <row r="56" spans="1:40" ht="15.75" thickBot="1" x14ac:dyDescent="0.3">
      <c r="A56" s="53" t="s">
        <v>82</v>
      </c>
      <c r="B56" s="24">
        <f>SUM(B54:B55)</f>
        <v>12.339881427793756</v>
      </c>
      <c r="C56" s="25">
        <f t="shared" ref="C56:J56" si="49">SUM(C54:C55)</f>
        <v>12.306856111637803</v>
      </c>
      <c r="D56" s="25">
        <f t="shared" si="49"/>
        <v>12.290672009912992</v>
      </c>
      <c r="E56" s="24">
        <f t="shared" si="49"/>
        <v>14.264849998986659</v>
      </c>
      <c r="F56" s="25">
        <f t="shared" si="49"/>
        <v>14.25869467632495</v>
      </c>
      <c r="G56" s="26">
        <f t="shared" si="49"/>
        <v>14.25176372058907</v>
      </c>
      <c r="H56" s="25">
        <f t="shared" si="49"/>
        <v>14.266381911232294</v>
      </c>
      <c r="I56" s="25">
        <f t="shared" si="49"/>
        <v>14.260252303916239</v>
      </c>
      <c r="J56" s="26">
        <f t="shared" si="49"/>
        <v>14.25333462318827</v>
      </c>
      <c r="L56" s="24">
        <f>SUM(L54:L55)</f>
        <v>12.378455799830865</v>
      </c>
      <c r="M56" s="100">
        <f>SUM(M54:M55)</f>
        <v>14.275678370075671</v>
      </c>
      <c r="N56" s="101"/>
      <c r="P56" s="13">
        <f t="shared" si="22"/>
        <v>1.0128046819111443</v>
      </c>
      <c r="Q56" s="5">
        <f t="shared" si="23"/>
        <v>756.76149574547901</v>
      </c>
      <c r="R56" s="13">
        <f t="shared" si="24"/>
        <v>1.0093411251331053</v>
      </c>
      <c r="S56" s="14">
        <f t="shared" si="25"/>
        <v>762.73940443000834</v>
      </c>
      <c r="T56" s="5">
        <f t="shared" si="26"/>
        <v>1.0076055091849014</v>
      </c>
      <c r="U56" s="5">
        <f t="shared" si="27"/>
        <v>765.81372226304541</v>
      </c>
      <c r="V56" s="13">
        <f t="shared" si="28"/>
        <v>1.0130367762778654</v>
      </c>
      <c r="W56" s="14">
        <f t="shared" si="29"/>
        <v>762.00984347825283</v>
      </c>
      <c r="X56" s="13">
        <f t="shared" si="30"/>
        <v>1.0109056174767643</v>
      </c>
      <c r="Y56" s="14">
        <f t="shared" si="31"/>
        <v>766.13707799849226</v>
      </c>
      <c r="Z56" s="13">
        <f t="shared" si="32"/>
        <v>1.0084652673783354</v>
      </c>
      <c r="AA56" s="14">
        <f t="shared" si="46"/>
        <v>770.4197011356116</v>
      </c>
      <c r="AB56" s="5">
        <f t="shared" si="33"/>
        <v>1.0118594490439843</v>
      </c>
      <c r="AC56" s="14">
        <f t="shared" si="34"/>
        <v>778.54475591461267</v>
      </c>
      <c r="AD56" s="13">
        <f t="shared" si="35"/>
        <v>1.0097455845525398</v>
      </c>
      <c r="AE56" s="14">
        <f t="shared" si="36"/>
        <v>782.41374300695213</v>
      </c>
      <c r="AF56" s="13">
        <f t="shared" si="37"/>
        <v>1.0073196714919088</v>
      </c>
      <c r="AG56" s="14">
        <f t="shared" si="38"/>
        <v>786.65364553854283</v>
      </c>
      <c r="AI56" s="13">
        <f t="shared" si="39"/>
        <v>1.0569278835316158</v>
      </c>
      <c r="AJ56" s="14">
        <f t="shared" si="40"/>
        <v>760.91147312639691</v>
      </c>
      <c r="AK56" s="13">
        <f t="shared" si="41"/>
        <v>1.0569278835316158</v>
      </c>
      <c r="AL56" s="14">
        <f t="shared" si="42"/>
        <v>761.24337321358621</v>
      </c>
      <c r="AM56" s="13">
        <f t="shared" si="43"/>
        <v>1.0569278835316158</v>
      </c>
      <c r="AN56" s="14">
        <f t="shared" si="44"/>
        <v>761.24337321358621</v>
      </c>
    </row>
    <row r="57" spans="1:40" ht="15.75" thickBot="1" x14ac:dyDescent="0.3">
      <c r="P57" s="13">
        <f t="shared" si="22"/>
        <v>1.0128046819111443</v>
      </c>
      <c r="Q57" s="5">
        <f t="shared" si="23"/>
        <v>756.76149574547901</v>
      </c>
      <c r="R57" s="13">
        <f t="shared" si="24"/>
        <v>1.0093411251331053</v>
      </c>
      <c r="S57" s="14">
        <f t="shared" si="25"/>
        <v>762.73940443000834</v>
      </c>
      <c r="T57" s="5">
        <f t="shared" si="26"/>
        <v>1.0076055091849014</v>
      </c>
      <c r="U57" s="5">
        <f t="shared" si="27"/>
        <v>765.81372226304541</v>
      </c>
      <c r="V57" s="13">
        <f t="shared" si="28"/>
        <v>1.0130367762778654</v>
      </c>
      <c r="W57" s="14">
        <f t="shared" si="29"/>
        <v>762.00984347825283</v>
      </c>
      <c r="X57" s="13">
        <f t="shared" si="30"/>
        <v>1.0109056174767643</v>
      </c>
      <c r="Y57" s="14">
        <f t="shared" si="31"/>
        <v>766.13707799849226</v>
      </c>
      <c r="Z57" s="13">
        <f t="shared" si="32"/>
        <v>1.0084652673783354</v>
      </c>
      <c r="AA57" s="14">
        <f t="shared" si="46"/>
        <v>770.4197011356116</v>
      </c>
      <c r="AB57" s="5">
        <f t="shared" si="33"/>
        <v>1.0118594490439843</v>
      </c>
      <c r="AC57" s="14">
        <f t="shared" si="34"/>
        <v>778.54475591461267</v>
      </c>
      <c r="AD57" s="13">
        <f t="shared" si="35"/>
        <v>1.0097455845525398</v>
      </c>
      <c r="AE57" s="14">
        <f t="shared" si="36"/>
        <v>782.41374300695213</v>
      </c>
      <c r="AF57" s="13">
        <f t="shared" si="37"/>
        <v>1.0073196714919088</v>
      </c>
      <c r="AG57" s="14">
        <f t="shared" si="38"/>
        <v>786.65364553854283</v>
      </c>
      <c r="AI57" s="13">
        <f t="shared" si="39"/>
        <v>1.0569278835316158</v>
      </c>
      <c r="AJ57" s="14">
        <f t="shared" si="40"/>
        <v>760.91147312639691</v>
      </c>
      <c r="AK57" s="13">
        <f t="shared" si="41"/>
        <v>1.0569278835316158</v>
      </c>
      <c r="AL57" s="14">
        <f t="shared" si="42"/>
        <v>761.24337321358621</v>
      </c>
      <c r="AM57" s="13">
        <f t="shared" si="43"/>
        <v>1.0569278835316158</v>
      </c>
      <c r="AN57" s="14">
        <f t="shared" si="44"/>
        <v>761.24337321358621</v>
      </c>
    </row>
    <row r="58" spans="1:40" ht="15.75" thickBot="1" x14ac:dyDescent="0.3">
      <c r="A58" s="54" t="s">
        <v>84</v>
      </c>
      <c r="B58" s="75">
        <f>(23.5*R3)/1000</f>
        <v>12.22</v>
      </c>
      <c r="C58" s="77"/>
      <c r="D58" s="77"/>
      <c r="E58" s="77"/>
      <c r="F58" s="77"/>
      <c r="G58" s="77"/>
      <c r="H58" s="77"/>
      <c r="I58" s="77"/>
      <c r="J58" s="79"/>
      <c r="L58" s="91">
        <f>(23.5*R3)/1000</f>
        <v>12.22</v>
      </c>
      <c r="M58" s="110"/>
      <c r="N58" s="92"/>
      <c r="P58" s="13">
        <f t="shared" si="22"/>
        <v>1.0128046819111443</v>
      </c>
      <c r="Q58" s="5">
        <f t="shared" si="23"/>
        <v>756.76149574547901</v>
      </c>
      <c r="R58" s="13">
        <f t="shared" si="24"/>
        <v>1.0093411251331053</v>
      </c>
      <c r="S58" s="14">
        <f t="shared" si="25"/>
        <v>762.73940443000834</v>
      </c>
      <c r="T58" s="5">
        <f t="shared" si="26"/>
        <v>1.0076055091849014</v>
      </c>
      <c r="U58" s="5">
        <f t="shared" si="27"/>
        <v>765.81372226304541</v>
      </c>
      <c r="V58" s="13">
        <f t="shared" si="28"/>
        <v>1.0130367762778654</v>
      </c>
      <c r="W58" s="14">
        <f t="shared" si="29"/>
        <v>762.00984347825283</v>
      </c>
      <c r="X58" s="13">
        <f t="shared" si="30"/>
        <v>1.0109056174767643</v>
      </c>
      <c r="Y58" s="14">
        <f t="shared" si="31"/>
        <v>766.13707799849226</v>
      </c>
      <c r="Z58" s="13">
        <f t="shared" si="32"/>
        <v>1.0084652673783354</v>
      </c>
      <c r="AA58" s="14">
        <f t="shared" si="46"/>
        <v>770.4197011356116</v>
      </c>
      <c r="AB58" s="5">
        <f t="shared" si="33"/>
        <v>1.0118594490439843</v>
      </c>
      <c r="AC58" s="14">
        <f t="shared" si="34"/>
        <v>778.54475591461267</v>
      </c>
      <c r="AD58" s="13">
        <f t="shared" si="35"/>
        <v>1.0097455845525398</v>
      </c>
      <c r="AE58" s="14">
        <f t="shared" si="36"/>
        <v>782.41374300695213</v>
      </c>
      <c r="AF58" s="13">
        <f t="shared" si="37"/>
        <v>1.0073196714919088</v>
      </c>
      <c r="AG58" s="14">
        <f t="shared" si="38"/>
        <v>786.65364553854283</v>
      </c>
      <c r="AI58" s="13">
        <f t="shared" si="39"/>
        <v>1.0569278835316158</v>
      </c>
      <c r="AJ58" s="14">
        <f t="shared" si="40"/>
        <v>760.91147312639691</v>
      </c>
      <c r="AK58" s="13">
        <f t="shared" si="41"/>
        <v>1.0569278835316158</v>
      </c>
      <c r="AL58" s="14">
        <f t="shared" si="42"/>
        <v>761.24337321358621</v>
      </c>
      <c r="AM58" s="13">
        <f t="shared" si="43"/>
        <v>1.0569278835316158</v>
      </c>
      <c r="AN58" s="14">
        <f t="shared" si="44"/>
        <v>761.24337321358621</v>
      </c>
    </row>
    <row r="59" spans="1:40" x14ac:dyDescent="0.25">
      <c r="A59" s="50" t="s">
        <v>86</v>
      </c>
      <c r="B59" s="22">
        <f>($P$16*(0.9463*S14^0.1216))</f>
        <v>2.8909812882922301</v>
      </c>
      <c r="C59" s="11">
        <f>($P$16*(0.9463*V14^0.1216))</f>
        <v>2.9020886120244795</v>
      </c>
      <c r="D59" s="11">
        <f>($P$16*(0.9463*Y14^0.1216))</f>
        <v>2.9075860695875897</v>
      </c>
      <c r="E59" s="22">
        <f>($P$16*(0.3418*T14^0.32))</f>
        <v>3.5067381408116574</v>
      </c>
      <c r="F59" s="11">
        <f>($P$16*(0.3418*W14^0.32))</f>
        <v>3.5287323381004723</v>
      </c>
      <c r="G59" s="12">
        <f>($P$16*(0.3418*Z14^0.32))</f>
        <v>3.5536933631575587</v>
      </c>
      <c r="H59" s="11">
        <f>($P$16*(0.3418*U14^0.32))</f>
        <v>3.5012895033860598</v>
      </c>
      <c r="I59" s="11">
        <f>($P$16*(0.3418*X14^0.32))</f>
        <v>3.52315126072742</v>
      </c>
      <c r="J59" s="12">
        <f>($P$16*(0.3418*AA14^0.32))</f>
        <v>3.548017711011465</v>
      </c>
      <c r="L59" s="13">
        <f>($R$8*(0.9463*Q8^0.1216))</f>
        <v>2.878192221954063</v>
      </c>
      <c r="M59" s="106">
        <f>($R$8*(0.3418*Q8^0.32))</f>
        <v>3.4684379316482601</v>
      </c>
      <c r="N59" s="107"/>
      <c r="P59" s="13">
        <f t="shared" si="22"/>
        <v>1.0128046819111443</v>
      </c>
      <c r="Q59" s="5">
        <f t="shared" si="23"/>
        <v>756.76149574547901</v>
      </c>
      <c r="R59" s="13">
        <f t="shared" si="24"/>
        <v>1.0093411251331053</v>
      </c>
      <c r="S59" s="14">
        <f t="shared" si="25"/>
        <v>762.73940443000834</v>
      </c>
      <c r="T59" s="5">
        <f t="shared" si="26"/>
        <v>1.0076055091849014</v>
      </c>
      <c r="U59" s="5">
        <f t="shared" si="27"/>
        <v>765.81372226304541</v>
      </c>
      <c r="V59" s="13">
        <f t="shared" si="28"/>
        <v>1.0130367762778654</v>
      </c>
      <c r="W59" s="14">
        <f t="shared" si="29"/>
        <v>762.00984347825283</v>
      </c>
      <c r="X59" s="13">
        <f t="shared" si="30"/>
        <v>1.0109056174767643</v>
      </c>
      <c r="Y59" s="14">
        <f t="shared" si="31"/>
        <v>766.13707799849226</v>
      </c>
      <c r="Z59" s="13">
        <f t="shared" si="32"/>
        <v>1.0084652673783354</v>
      </c>
      <c r="AA59" s="14">
        <f t="shared" si="46"/>
        <v>770.4197011356116</v>
      </c>
      <c r="AB59" s="5">
        <f t="shared" si="33"/>
        <v>1.0118594490439843</v>
      </c>
      <c r="AC59" s="14">
        <f t="shared" si="34"/>
        <v>778.54475591461267</v>
      </c>
      <c r="AD59" s="13">
        <f t="shared" si="35"/>
        <v>1.0097455845525398</v>
      </c>
      <c r="AE59" s="14">
        <f t="shared" si="36"/>
        <v>782.41374300695213</v>
      </c>
      <c r="AF59" s="13">
        <f t="shared" si="37"/>
        <v>1.0073196714919088</v>
      </c>
      <c r="AG59" s="14">
        <f t="shared" si="38"/>
        <v>786.65364553854283</v>
      </c>
      <c r="AI59" s="13">
        <f t="shared" si="39"/>
        <v>1.0569278835316158</v>
      </c>
      <c r="AJ59" s="14">
        <f t="shared" si="40"/>
        <v>760.91147312639691</v>
      </c>
      <c r="AK59" s="13">
        <f t="shared" si="41"/>
        <v>1.0569278835316158</v>
      </c>
      <c r="AL59" s="14">
        <f t="shared" si="42"/>
        <v>761.24337321358621</v>
      </c>
      <c r="AM59" s="13">
        <f t="shared" si="43"/>
        <v>1.0569278835316158</v>
      </c>
      <c r="AN59" s="14">
        <f t="shared" si="44"/>
        <v>761.24337321358621</v>
      </c>
    </row>
    <row r="60" spans="1:40" x14ac:dyDescent="0.25">
      <c r="A60" s="50" t="s">
        <v>85</v>
      </c>
      <c r="B60" s="13">
        <f>($B$58+B59)</f>
        <v>15.11098128829223</v>
      </c>
      <c r="C60" s="5">
        <f t="shared" ref="C60:J60" si="50">($B$58+C59)</f>
        <v>15.122088612024481</v>
      </c>
      <c r="D60" s="5">
        <f t="shared" si="50"/>
        <v>15.12758606958759</v>
      </c>
      <c r="E60" s="13">
        <f t="shared" si="50"/>
        <v>15.726738140811658</v>
      </c>
      <c r="F60" s="5">
        <f>($B$58+F59)</f>
        <v>15.748732338100472</v>
      </c>
      <c r="G60" s="14">
        <f t="shared" si="50"/>
        <v>15.773693363157559</v>
      </c>
      <c r="H60" s="5">
        <f t="shared" si="50"/>
        <v>15.72128950338606</v>
      </c>
      <c r="I60" s="5">
        <f t="shared" si="50"/>
        <v>15.743151260727421</v>
      </c>
      <c r="J60" s="14">
        <f t="shared" si="50"/>
        <v>15.768017711011465</v>
      </c>
      <c r="L60" s="13">
        <f>($L$58+L59)</f>
        <v>15.098192221954063</v>
      </c>
      <c r="M60" s="106">
        <f>($L$58+M59)</f>
        <v>15.688437931648261</v>
      </c>
      <c r="N60" s="107"/>
      <c r="P60" s="13">
        <f t="shared" si="22"/>
        <v>1.0128046819111443</v>
      </c>
      <c r="Q60" s="5">
        <f t="shared" si="23"/>
        <v>756.76149574547901</v>
      </c>
      <c r="R60" s="13">
        <f t="shared" si="24"/>
        <v>1.0093411251331053</v>
      </c>
      <c r="S60" s="14">
        <f t="shared" si="25"/>
        <v>762.73940443000834</v>
      </c>
      <c r="T60" s="5">
        <f t="shared" si="26"/>
        <v>1.0076055091849014</v>
      </c>
      <c r="U60" s="5">
        <f t="shared" si="27"/>
        <v>765.81372226304541</v>
      </c>
      <c r="V60" s="13">
        <f t="shared" si="28"/>
        <v>1.0130367762778654</v>
      </c>
      <c r="W60" s="14">
        <f t="shared" si="29"/>
        <v>762.00984347825283</v>
      </c>
      <c r="X60" s="13">
        <f t="shared" si="30"/>
        <v>1.0109056174767643</v>
      </c>
      <c r="Y60" s="14">
        <f t="shared" si="31"/>
        <v>766.13707799849226</v>
      </c>
      <c r="Z60" s="13">
        <f t="shared" si="32"/>
        <v>1.0084652673783354</v>
      </c>
      <c r="AA60" s="14">
        <f t="shared" si="46"/>
        <v>770.4197011356116</v>
      </c>
      <c r="AB60" s="5">
        <f t="shared" si="33"/>
        <v>1.0118594490439843</v>
      </c>
      <c r="AC60" s="14">
        <f t="shared" si="34"/>
        <v>778.54475591461267</v>
      </c>
      <c r="AD60" s="13">
        <f t="shared" si="35"/>
        <v>1.0097455845525398</v>
      </c>
      <c r="AE60" s="14">
        <f t="shared" si="36"/>
        <v>782.41374300695213</v>
      </c>
      <c r="AF60" s="13">
        <f t="shared" si="37"/>
        <v>1.0073196714919088</v>
      </c>
      <c r="AG60" s="14">
        <f t="shared" si="38"/>
        <v>786.65364553854283</v>
      </c>
      <c r="AI60" s="13">
        <f t="shared" si="39"/>
        <v>1.0569278835316158</v>
      </c>
      <c r="AJ60" s="14">
        <f t="shared" si="40"/>
        <v>760.91147312639691</v>
      </c>
      <c r="AK60" s="13">
        <f t="shared" si="41"/>
        <v>1.0569278835316158</v>
      </c>
      <c r="AL60" s="14">
        <f t="shared" si="42"/>
        <v>761.24337321358621</v>
      </c>
      <c r="AM60" s="13">
        <f t="shared" si="43"/>
        <v>1.0569278835316158</v>
      </c>
      <c r="AN60" s="14">
        <f t="shared" si="44"/>
        <v>761.24337321358621</v>
      </c>
    </row>
    <row r="61" spans="1:40" x14ac:dyDescent="0.25">
      <c r="A61" s="51" t="s">
        <v>87</v>
      </c>
      <c r="B61" s="28">
        <f t="shared" ref="B61:J61" si="51">($B$58/$T$45%)</f>
        <v>25.247933884297524</v>
      </c>
      <c r="C61" s="29">
        <f t="shared" si="51"/>
        <v>25.247933884297524</v>
      </c>
      <c r="D61" s="29">
        <f t="shared" si="51"/>
        <v>25.247933884297524</v>
      </c>
      <c r="E61" s="28">
        <f t="shared" si="51"/>
        <v>25.247933884297524</v>
      </c>
      <c r="F61" s="29">
        <f t="shared" si="51"/>
        <v>25.247933884297524</v>
      </c>
      <c r="G61" s="30">
        <f t="shared" si="51"/>
        <v>25.247933884297524</v>
      </c>
      <c r="H61" s="29">
        <f t="shared" si="51"/>
        <v>25.247933884297524</v>
      </c>
      <c r="I61" s="29">
        <f t="shared" si="51"/>
        <v>25.247933884297524</v>
      </c>
      <c r="J61" s="30">
        <f t="shared" si="51"/>
        <v>25.247933884297524</v>
      </c>
      <c r="L61" s="28">
        <f>($L$58/$T$45%)</f>
        <v>25.247933884297524</v>
      </c>
      <c r="M61" s="103">
        <f>($L$58/$T$45%)</f>
        <v>25.247933884297524</v>
      </c>
      <c r="N61" s="104"/>
      <c r="P61" s="13">
        <f t="shared" si="22"/>
        <v>1.0128046819111443</v>
      </c>
      <c r="Q61" s="5">
        <f t="shared" si="23"/>
        <v>756.76149574547901</v>
      </c>
      <c r="R61" s="13">
        <f t="shared" si="24"/>
        <v>1.0093411251331053</v>
      </c>
      <c r="S61" s="14">
        <f t="shared" si="25"/>
        <v>762.73940443000834</v>
      </c>
      <c r="T61" s="5">
        <f t="shared" si="26"/>
        <v>1.0076055091849014</v>
      </c>
      <c r="U61" s="5">
        <f t="shared" si="27"/>
        <v>765.81372226304541</v>
      </c>
      <c r="V61" s="13">
        <f t="shared" si="28"/>
        <v>1.0130367762778654</v>
      </c>
      <c r="W61" s="14">
        <f t="shared" si="29"/>
        <v>762.00984347825283</v>
      </c>
      <c r="X61" s="13">
        <f t="shared" si="30"/>
        <v>1.0109056174767643</v>
      </c>
      <c r="Y61" s="14">
        <f t="shared" si="31"/>
        <v>766.13707799849226</v>
      </c>
      <c r="Z61" s="13">
        <f t="shared" si="32"/>
        <v>1.0084652673783354</v>
      </c>
      <c r="AA61" s="14">
        <f t="shared" si="46"/>
        <v>770.4197011356116</v>
      </c>
      <c r="AB61" s="5">
        <f t="shared" si="33"/>
        <v>1.0118594490439843</v>
      </c>
      <c r="AC61" s="14">
        <f t="shared" si="34"/>
        <v>778.54475591461267</v>
      </c>
      <c r="AD61" s="13">
        <f t="shared" si="35"/>
        <v>1.0097455845525398</v>
      </c>
      <c r="AE61" s="14">
        <f t="shared" si="36"/>
        <v>782.41374300695213</v>
      </c>
      <c r="AF61" s="13">
        <f t="shared" si="37"/>
        <v>1.0073196714919088</v>
      </c>
      <c r="AG61" s="14">
        <f t="shared" si="38"/>
        <v>786.65364553854283</v>
      </c>
      <c r="AI61" s="13">
        <f t="shared" si="39"/>
        <v>1.0569278835316158</v>
      </c>
      <c r="AJ61" s="14">
        <f t="shared" si="40"/>
        <v>760.91147312639691</v>
      </c>
      <c r="AK61" s="13">
        <f t="shared" si="41"/>
        <v>1.0569278835316158</v>
      </c>
      <c r="AL61" s="14">
        <f t="shared" si="42"/>
        <v>761.24337321358621</v>
      </c>
      <c r="AM61" s="13">
        <f t="shared" si="43"/>
        <v>1.0569278835316158</v>
      </c>
      <c r="AN61" s="14">
        <f t="shared" si="44"/>
        <v>761.24337321358621</v>
      </c>
    </row>
    <row r="62" spans="1:40" x14ac:dyDescent="0.25">
      <c r="A62" s="51" t="s">
        <v>88</v>
      </c>
      <c r="B62" s="28">
        <f t="shared" ref="B62:J62" si="52">(B59/$T$45%)</f>
        <v>5.9731018353145249</v>
      </c>
      <c r="C62" s="29">
        <f t="shared" si="52"/>
        <v>5.9960508512902475</v>
      </c>
      <c r="D62" s="29">
        <f t="shared" si="52"/>
        <v>6.0074092346851025</v>
      </c>
      <c r="E62" s="28">
        <f t="shared" si="52"/>
        <v>7.2453267372141683</v>
      </c>
      <c r="F62" s="29">
        <f t="shared" si="52"/>
        <v>7.2907692935960169</v>
      </c>
      <c r="G62" s="30">
        <f t="shared" si="52"/>
        <v>7.3423416594164435</v>
      </c>
      <c r="H62" s="29">
        <f t="shared" si="52"/>
        <v>7.2340692218720246</v>
      </c>
      <c r="I62" s="29">
        <f t="shared" si="52"/>
        <v>7.2792381419988015</v>
      </c>
      <c r="J62" s="30">
        <f t="shared" si="52"/>
        <v>7.330615105395589</v>
      </c>
      <c r="L62" s="28">
        <f>(L59/$T$45%)</f>
        <v>5.9466781445331884</v>
      </c>
      <c r="M62" s="103">
        <f>(M59/$T$45%)</f>
        <v>7.16619407365343</v>
      </c>
      <c r="N62" s="104"/>
      <c r="P62" s="13">
        <f t="shared" si="22"/>
        <v>1.0128046819111443</v>
      </c>
      <c r="Q62" s="5">
        <f t="shared" si="23"/>
        <v>756.76149574547901</v>
      </c>
      <c r="R62" s="13">
        <f t="shared" si="24"/>
        <v>1.0093411251331053</v>
      </c>
      <c r="S62" s="14">
        <f t="shared" si="25"/>
        <v>762.73940443000834</v>
      </c>
      <c r="T62" s="5">
        <f t="shared" si="26"/>
        <v>1.0076055091849014</v>
      </c>
      <c r="U62" s="5">
        <f t="shared" si="27"/>
        <v>765.81372226304541</v>
      </c>
      <c r="V62" s="13">
        <f t="shared" si="28"/>
        <v>1.0130367762778654</v>
      </c>
      <c r="W62" s="14">
        <f t="shared" si="29"/>
        <v>762.00984347825283</v>
      </c>
      <c r="X62" s="13">
        <f t="shared" si="30"/>
        <v>1.0109056174767643</v>
      </c>
      <c r="Y62" s="14">
        <f t="shared" si="31"/>
        <v>766.13707799849226</v>
      </c>
      <c r="Z62" s="13">
        <f t="shared" si="32"/>
        <v>1.0084652673783354</v>
      </c>
      <c r="AA62" s="14">
        <f t="shared" si="46"/>
        <v>770.4197011356116</v>
      </c>
      <c r="AB62" s="5">
        <f t="shared" si="33"/>
        <v>1.0118594490439843</v>
      </c>
      <c r="AC62" s="14">
        <f t="shared" si="34"/>
        <v>778.54475591461267</v>
      </c>
      <c r="AD62" s="13">
        <f t="shared" si="35"/>
        <v>1.0097455845525398</v>
      </c>
      <c r="AE62" s="14">
        <f t="shared" si="36"/>
        <v>782.41374300695213</v>
      </c>
      <c r="AF62" s="13">
        <f t="shared" si="37"/>
        <v>1.0073196714919088</v>
      </c>
      <c r="AG62" s="14">
        <f t="shared" si="38"/>
        <v>786.65364553854283</v>
      </c>
      <c r="AI62" s="13">
        <f t="shared" si="39"/>
        <v>1.0569278835316158</v>
      </c>
      <c r="AJ62" s="14">
        <f t="shared" si="40"/>
        <v>760.91147312639691</v>
      </c>
      <c r="AK62" s="13">
        <f t="shared" si="41"/>
        <v>1.0569278835316158</v>
      </c>
      <c r="AL62" s="14">
        <f t="shared" si="42"/>
        <v>761.24337321358621</v>
      </c>
      <c r="AM62" s="13">
        <f t="shared" si="43"/>
        <v>1.0569278835316158</v>
      </c>
      <c r="AN62" s="14">
        <f t="shared" si="44"/>
        <v>761.24337321358621</v>
      </c>
    </row>
    <row r="63" spans="1:40" ht="15.75" thickBot="1" x14ac:dyDescent="0.3">
      <c r="A63" s="53" t="s">
        <v>89</v>
      </c>
      <c r="B63" s="24">
        <f>SUM(B61:B62)</f>
        <v>31.221035719612047</v>
      </c>
      <c r="C63" s="25">
        <f t="shared" ref="C63:J63" si="53">SUM(C61:C62)</f>
        <v>31.243984735587773</v>
      </c>
      <c r="D63" s="25">
        <f t="shared" si="53"/>
        <v>31.255343118982626</v>
      </c>
      <c r="E63" s="24">
        <f t="shared" si="53"/>
        <v>32.493260621511695</v>
      </c>
      <c r="F63" s="25">
        <f t="shared" si="53"/>
        <v>32.538703177893538</v>
      </c>
      <c r="G63" s="26">
        <f t="shared" si="53"/>
        <v>32.590275543713965</v>
      </c>
      <c r="H63" s="25">
        <f t="shared" si="53"/>
        <v>32.48200310616955</v>
      </c>
      <c r="I63" s="25">
        <f t="shared" si="53"/>
        <v>32.527172026296327</v>
      </c>
      <c r="J63" s="26">
        <f t="shared" si="53"/>
        <v>32.578548989693111</v>
      </c>
      <c r="L63" s="24">
        <f>SUM(L61:L62)</f>
        <v>31.194612028830711</v>
      </c>
      <c r="M63" s="100">
        <f>SUM(M61:M62)</f>
        <v>32.414127957950953</v>
      </c>
      <c r="N63" s="101"/>
      <c r="P63" s="13">
        <f t="shared" si="22"/>
        <v>1.0128046819111443</v>
      </c>
      <c r="Q63" s="5">
        <f t="shared" si="23"/>
        <v>756.76149574547901</v>
      </c>
      <c r="R63" s="13">
        <f t="shared" si="24"/>
        <v>1.0093411251331053</v>
      </c>
      <c r="S63" s="14">
        <f t="shared" si="25"/>
        <v>762.73940443000834</v>
      </c>
      <c r="T63" s="5">
        <f t="shared" si="26"/>
        <v>1.0076055091849014</v>
      </c>
      <c r="U63" s="5">
        <f t="shared" si="27"/>
        <v>765.81372226304541</v>
      </c>
      <c r="V63" s="13">
        <f t="shared" si="28"/>
        <v>1.0130367762778654</v>
      </c>
      <c r="W63" s="14">
        <f t="shared" si="29"/>
        <v>762.00984347825283</v>
      </c>
      <c r="X63" s="13">
        <f t="shared" si="30"/>
        <v>1.0109056174767643</v>
      </c>
      <c r="Y63" s="14">
        <f t="shared" si="31"/>
        <v>766.13707799849226</v>
      </c>
      <c r="Z63" s="13">
        <f t="shared" si="32"/>
        <v>1.0084652673783354</v>
      </c>
      <c r="AA63" s="14">
        <f t="shared" si="46"/>
        <v>770.4197011356116</v>
      </c>
      <c r="AB63" s="5">
        <f t="shared" si="33"/>
        <v>1.0118594490439843</v>
      </c>
      <c r="AC63" s="14">
        <f t="shared" si="34"/>
        <v>778.54475591461267</v>
      </c>
      <c r="AD63" s="13">
        <f t="shared" si="35"/>
        <v>1.0097455845525398</v>
      </c>
      <c r="AE63" s="14">
        <f t="shared" si="36"/>
        <v>782.41374300695213</v>
      </c>
      <c r="AF63" s="13">
        <f t="shared" si="37"/>
        <v>1.0073196714919088</v>
      </c>
      <c r="AG63" s="14">
        <f t="shared" si="38"/>
        <v>786.65364553854283</v>
      </c>
      <c r="AI63" s="13">
        <f t="shared" si="39"/>
        <v>1.0569278835316158</v>
      </c>
      <c r="AJ63" s="14">
        <f t="shared" si="40"/>
        <v>760.91147312639691</v>
      </c>
      <c r="AK63" s="13">
        <f t="shared" si="41"/>
        <v>1.0569278835316158</v>
      </c>
      <c r="AL63" s="14">
        <f t="shared" si="42"/>
        <v>761.24337321358621</v>
      </c>
      <c r="AM63" s="13">
        <f t="shared" si="43"/>
        <v>1.0569278835316158</v>
      </c>
      <c r="AN63" s="14">
        <f t="shared" si="44"/>
        <v>761.24337321358621</v>
      </c>
    </row>
    <row r="64" spans="1:40" ht="15.75" thickBot="1" x14ac:dyDescent="0.3">
      <c r="P64" s="13">
        <f t="shared" si="22"/>
        <v>1.0128046819111443</v>
      </c>
      <c r="Q64" s="5">
        <f t="shared" si="23"/>
        <v>756.76149574547901</v>
      </c>
      <c r="R64" s="13">
        <f t="shared" si="24"/>
        <v>1.0093411251331053</v>
      </c>
      <c r="S64" s="14">
        <f t="shared" si="25"/>
        <v>762.73940443000834</v>
      </c>
      <c r="T64" s="5">
        <f t="shared" si="26"/>
        <v>1.0076055091849014</v>
      </c>
      <c r="U64" s="5">
        <f t="shared" si="27"/>
        <v>765.81372226304541</v>
      </c>
      <c r="V64" s="13">
        <f t="shared" si="28"/>
        <v>1.0130367762778654</v>
      </c>
      <c r="W64" s="14">
        <f t="shared" si="29"/>
        <v>762.00984347825283</v>
      </c>
      <c r="X64" s="13">
        <f t="shared" si="30"/>
        <v>1.0109056174767643</v>
      </c>
      <c r="Y64" s="14">
        <f t="shared" si="31"/>
        <v>766.13707799849226</v>
      </c>
      <c r="Z64" s="13">
        <f t="shared" si="32"/>
        <v>1.0084652673783354</v>
      </c>
      <c r="AA64" s="14">
        <f t="shared" si="46"/>
        <v>770.4197011356116</v>
      </c>
      <c r="AB64" s="5">
        <f t="shared" si="33"/>
        <v>1.0118594490439843</v>
      </c>
      <c r="AC64" s="14">
        <f t="shared" si="34"/>
        <v>778.54475591461267</v>
      </c>
      <c r="AD64" s="13">
        <f t="shared" si="35"/>
        <v>1.0097455845525398</v>
      </c>
      <c r="AE64" s="14">
        <f t="shared" si="36"/>
        <v>782.41374300695213</v>
      </c>
      <c r="AF64" s="13">
        <f t="shared" si="37"/>
        <v>1.0073196714919088</v>
      </c>
      <c r="AG64" s="14">
        <f t="shared" si="38"/>
        <v>786.65364553854283</v>
      </c>
      <c r="AI64" s="13">
        <f t="shared" si="39"/>
        <v>1.0569278835316158</v>
      </c>
      <c r="AJ64" s="14">
        <f t="shared" si="40"/>
        <v>760.91147312639691</v>
      </c>
      <c r="AK64" s="13">
        <f t="shared" si="41"/>
        <v>1.0569278835316158</v>
      </c>
      <c r="AL64" s="14">
        <f t="shared" si="42"/>
        <v>761.24337321358621</v>
      </c>
      <c r="AM64" s="13">
        <f t="shared" si="43"/>
        <v>1.0569278835316158</v>
      </c>
      <c r="AN64" s="14">
        <f t="shared" si="44"/>
        <v>761.24337321358621</v>
      </c>
    </row>
    <row r="65" spans="1:40" ht="15.75" thickBot="1" x14ac:dyDescent="0.3">
      <c r="A65" s="54" t="s">
        <v>90</v>
      </c>
      <c r="B65" s="75">
        <f>(10.4*R3)/1000</f>
        <v>5.4080000000000004</v>
      </c>
      <c r="C65" s="77"/>
      <c r="D65" s="77"/>
      <c r="E65" s="77"/>
      <c r="F65" s="77"/>
      <c r="G65" s="77"/>
      <c r="H65" s="77"/>
      <c r="I65" s="77"/>
      <c r="J65" s="79"/>
      <c r="L65" s="75">
        <f>(10.4*R3)/1000</f>
        <v>5.4080000000000004</v>
      </c>
      <c r="M65" s="77"/>
      <c r="N65" s="79"/>
      <c r="P65" s="13">
        <f t="shared" si="22"/>
        <v>1.0128046819111443</v>
      </c>
      <c r="Q65" s="5">
        <f t="shared" si="23"/>
        <v>756.76149574547901</v>
      </c>
      <c r="R65" s="13">
        <f t="shared" si="24"/>
        <v>1.0093411251331053</v>
      </c>
      <c r="S65" s="14">
        <f t="shared" si="25"/>
        <v>762.73940443000834</v>
      </c>
      <c r="T65" s="5">
        <f t="shared" si="26"/>
        <v>1.0076055091849014</v>
      </c>
      <c r="U65" s="5">
        <f t="shared" si="27"/>
        <v>765.81372226304541</v>
      </c>
      <c r="V65" s="13">
        <f t="shared" si="28"/>
        <v>1.0130367762778654</v>
      </c>
      <c r="W65" s="14">
        <f t="shared" si="29"/>
        <v>762.00984347825283</v>
      </c>
      <c r="X65" s="13">
        <f t="shared" si="30"/>
        <v>1.0109056174767643</v>
      </c>
      <c r="Y65" s="14">
        <f t="shared" si="31"/>
        <v>766.13707799849226</v>
      </c>
      <c r="Z65" s="13">
        <f t="shared" si="32"/>
        <v>1.0084652673783354</v>
      </c>
      <c r="AA65" s="14">
        <f t="shared" si="46"/>
        <v>770.4197011356116</v>
      </c>
      <c r="AB65" s="5">
        <f t="shared" si="33"/>
        <v>1.0118594490439843</v>
      </c>
      <c r="AC65" s="14">
        <f t="shared" si="34"/>
        <v>778.54475591461267</v>
      </c>
      <c r="AD65" s="13">
        <f t="shared" si="35"/>
        <v>1.0097455845525398</v>
      </c>
      <c r="AE65" s="14">
        <f t="shared" si="36"/>
        <v>782.41374300695213</v>
      </c>
      <c r="AF65" s="13">
        <f t="shared" si="37"/>
        <v>1.0073196714919088</v>
      </c>
      <c r="AG65" s="14">
        <f t="shared" si="38"/>
        <v>786.65364553854283</v>
      </c>
      <c r="AI65" s="13">
        <f t="shared" si="39"/>
        <v>1.0569278835316158</v>
      </c>
      <c r="AJ65" s="14">
        <f t="shared" si="40"/>
        <v>760.91147312639691</v>
      </c>
      <c r="AK65" s="13">
        <f t="shared" si="41"/>
        <v>1.0569278835316158</v>
      </c>
      <c r="AL65" s="14">
        <f t="shared" si="42"/>
        <v>761.24337321358621</v>
      </c>
      <c r="AM65" s="13">
        <f t="shared" si="43"/>
        <v>1.0569278835316158</v>
      </c>
      <c r="AN65" s="14">
        <f t="shared" si="44"/>
        <v>761.24337321358621</v>
      </c>
    </row>
    <row r="66" spans="1:40" x14ac:dyDescent="0.25">
      <c r="A66" s="50" t="s">
        <v>91</v>
      </c>
      <c r="B66" s="22">
        <f>($P$16*(0.03*S14^0.89))</f>
        <v>10.021316972079301</v>
      </c>
      <c r="C66" s="11">
        <f>($P$16*(0.03*V14^0.89))</f>
        <v>10.306564065670653</v>
      </c>
      <c r="D66" s="11">
        <f>($P$16*(0.03*Y14^0.89))</f>
        <v>10.450318689011798</v>
      </c>
      <c r="E66" s="22">
        <f>($P$16*(0.03*T14^0.89))</f>
        <v>10.002232364195288</v>
      </c>
      <c r="F66" s="11">
        <f>($P$16*(0.03*W14^0.89))</f>
        <v>10.177687020244955</v>
      </c>
      <c r="G66" s="12">
        <f>($P$16*(0.03*Z14^0.89))</f>
        <v>10.379182489649525</v>
      </c>
      <c r="H66" s="11">
        <f>($P$16*(0.03*U14^0.89))</f>
        <v>9.9590684935676865</v>
      </c>
      <c r="I66" s="11">
        <f>($P$16*(0.03*X14^0.89))</f>
        <v>10.132979919122807</v>
      </c>
      <c r="J66" s="12">
        <f>($P$16*(0.03*AA14^0.89))</f>
        <v>10.333144000852167</v>
      </c>
      <c r="L66" s="105">
        <f>($R$8*(0.03*Q8^0.89))</f>
        <v>9.7013465448419591</v>
      </c>
      <c r="M66" s="106"/>
      <c r="N66" s="107"/>
      <c r="P66" s="13">
        <f t="shared" si="22"/>
        <v>1.0128046819111443</v>
      </c>
      <c r="Q66" s="5">
        <f t="shared" si="23"/>
        <v>756.76149574547901</v>
      </c>
      <c r="R66" s="13">
        <f t="shared" si="24"/>
        <v>1.0093411251331053</v>
      </c>
      <c r="S66" s="14">
        <f t="shared" si="25"/>
        <v>762.73940443000834</v>
      </c>
      <c r="T66" s="5">
        <f t="shared" si="26"/>
        <v>1.0076055091849014</v>
      </c>
      <c r="U66" s="5">
        <f t="shared" si="27"/>
        <v>765.81372226304541</v>
      </c>
      <c r="V66" s="13">
        <f t="shared" si="28"/>
        <v>1.0130367762778654</v>
      </c>
      <c r="W66" s="14">
        <f t="shared" si="29"/>
        <v>762.00984347825283</v>
      </c>
      <c r="X66" s="13">
        <f t="shared" si="30"/>
        <v>1.0109056174767643</v>
      </c>
      <c r="Y66" s="14">
        <f t="shared" si="31"/>
        <v>766.13707799849226</v>
      </c>
      <c r="Z66" s="13">
        <f t="shared" si="32"/>
        <v>1.0084652673783354</v>
      </c>
      <c r="AA66" s="14">
        <f t="shared" si="46"/>
        <v>770.4197011356116</v>
      </c>
      <c r="AB66" s="5">
        <f t="shared" si="33"/>
        <v>1.0118594490439843</v>
      </c>
      <c r="AC66" s="14">
        <f t="shared" si="34"/>
        <v>778.54475591461267</v>
      </c>
      <c r="AD66" s="13">
        <f t="shared" si="35"/>
        <v>1.0097455845525398</v>
      </c>
      <c r="AE66" s="14">
        <f t="shared" si="36"/>
        <v>782.41374300695213</v>
      </c>
      <c r="AF66" s="13">
        <f t="shared" si="37"/>
        <v>1.0073196714919088</v>
      </c>
      <c r="AG66" s="14">
        <f t="shared" si="38"/>
        <v>786.65364553854283</v>
      </c>
      <c r="AI66" s="13">
        <f t="shared" si="39"/>
        <v>1.0569278835316158</v>
      </c>
      <c r="AJ66" s="14">
        <f t="shared" si="40"/>
        <v>760.91147312639691</v>
      </c>
      <c r="AK66" s="13">
        <f t="shared" si="41"/>
        <v>1.0569278835316158</v>
      </c>
      <c r="AL66" s="14">
        <f t="shared" si="42"/>
        <v>761.24337321358621</v>
      </c>
      <c r="AM66" s="13">
        <f t="shared" si="43"/>
        <v>1.0569278835316158</v>
      </c>
      <c r="AN66" s="14">
        <f t="shared" si="44"/>
        <v>761.24337321358621</v>
      </c>
    </row>
    <row r="67" spans="1:40" x14ac:dyDescent="0.25">
      <c r="A67" s="50" t="s">
        <v>92</v>
      </c>
      <c r="B67" s="13">
        <f>($B$65+B66)</f>
        <v>15.429316972079302</v>
      </c>
      <c r="C67" s="5">
        <f t="shared" ref="C67:J67" si="54">($B$65+C66)</f>
        <v>15.714564065670654</v>
      </c>
      <c r="D67" s="5">
        <f t="shared" si="54"/>
        <v>15.858318689011799</v>
      </c>
      <c r="E67" s="13">
        <f t="shared" si="54"/>
        <v>15.410232364195288</v>
      </c>
      <c r="F67" s="5">
        <f t="shared" si="54"/>
        <v>15.585687020244954</v>
      </c>
      <c r="G67" s="14">
        <f t="shared" si="54"/>
        <v>15.787182489649524</v>
      </c>
      <c r="H67" s="5">
        <f t="shared" si="54"/>
        <v>15.367068493567686</v>
      </c>
      <c r="I67" s="5">
        <f t="shared" si="54"/>
        <v>15.540979919122808</v>
      </c>
      <c r="J67" s="14">
        <f t="shared" si="54"/>
        <v>15.741144000852167</v>
      </c>
      <c r="L67" s="105">
        <f>($L$65+L66)</f>
        <v>15.109346544841959</v>
      </c>
      <c r="M67" s="106"/>
      <c r="N67" s="107"/>
      <c r="P67" s="13">
        <f t="shared" si="22"/>
        <v>1.0128046819111443</v>
      </c>
      <c r="Q67" s="5">
        <f t="shared" si="23"/>
        <v>756.76149574547901</v>
      </c>
      <c r="R67" s="13">
        <f t="shared" si="24"/>
        <v>1.0093411251331053</v>
      </c>
      <c r="S67" s="14">
        <f t="shared" si="25"/>
        <v>762.73940443000834</v>
      </c>
      <c r="T67" s="5">
        <f t="shared" si="26"/>
        <v>1.0076055091849014</v>
      </c>
      <c r="U67" s="5">
        <f t="shared" si="27"/>
        <v>765.81372226304541</v>
      </c>
      <c r="V67" s="13">
        <f t="shared" si="28"/>
        <v>1.0130367762778654</v>
      </c>
      <c r="W67" s="14">
        <f t="shared" si="29"/>
        <v>762.00984347825283</v>
      </c>
      <c r="X67" s="13">
        <f t="shared" si="30"/>
        <v>1.0109056174767643</v>
      </c>
      <c r="Y67" s="14">
        <f t="shared" si="31"/>
        <v>766.13707799849226</v>
      </c>
      <c r="Z67" s="13">
        <f t="shared" si="32"/>
        <v>1.0084652673783354</v>
      </c>
      <c r="AA67" s="14">
        <f t="shared" si="46"/>
        <v>770.4197011356116</v>
      </c>
      <c r="AB67" s="5">
        <f t="shared" si="33"/>
        <v>1.0118594490439843</v>
      </c>
      <c r="AC67" s="14">
        <f t="shared" si="34"/>
        <v>778.54475591461267</v>
      </c>
      <c r="AD67" s="13">
        <f t="shared" si="35"/>
        <v>1.0097455845525398</v>
      </c>
      <c r="AE67" s="14">
        <f t="shared" si="36"/>
        <v>782.41374300695213</v>
      </c>
      <c r="AF67" s="13">
        <f t="shared" si="37"/>
        <v>1.0073196714919088</v>
      </c>
      <c r="AG67" s="14">
        <f t="shared" si="38"/>
        <v>786.65364553854283</v>
      </c>
      <c r="AI67" s="13">
        <f t="shared" si="39"/>
        <v>1.0569278835316158</v>
      </c>
      <c r="AJ67" s="14">
        <f t="shared" si="40"/>
        <v>760.91147312639691</v>
      </c>
      <c r="AK67" s="13">
        <f t="shared" si="41"/>
        <v>1.0569278835316158</v>
      </c>
      <c r="AL67" s="14">
        <f t="shared" si="42"/>
        <v>761.24337321358621</v>
      </c>
      <c r="AM67" s="13">
        <f t="shared" si="43"/>
        <v>1.0569278835316158</v>
      </c>
      <c r="AN67" s="14">
        <f t="shared" si="44"/>
        <v>761.24337321358621</v>
      </c>
    </row>
    <row r="68" spans="1:40" x14ac:dyDescent="0.25">
      <c r="A68" s="51" t="s">
        <v>93</v>
      </c>
      <c r="B68" s="28">
        <f t="shared" ref="B68:J68" si="55">($B$65/$U$45%)</f>
        <v>6.9961190168175937</v>
      </c>
      <c r="C68" s="29">
        <f t="shared" si="55"/>
        <v>6.9961190168175937</v>
      </c>
      <c r="D68" s="29">
        <f t="shared" si="55"/>
        <v>6.9961190168175937</v>
      </c>
      <c r="E68" s="28">
        <f t="shared" si="55"/>
        <v>6.9961190168175937</v>
      </c>
      <c r="F68" s="29">
        <f t="shared" si="55"/>
        <v>6.9961190168175937</v>
      </c>
      <c r="G68" s="30">
        <f t="shared" si="55"/>
        <v>6.9961190168175937</v>
      </c>
      <c r="H68" s="29">
        <f t="shared" si="55"/>
        <v>6.9961190168175937</v>
      </c>
      <c r="I68" s="29">
        <f t="shared" si="55"/>
        <v>6.9961190168175937</v>
      </c>
      <c r="J68" s="30">
        <f t="shared" si="55"/>
        <v>6.9961190168175937</v>
      </c>
      <c r="L68" s="102">
        <f>($L$65/$U$45%)</f>
        <v>6.9961190168175937</v>
      </c>
      <c r="M68" s="103"/>
      <c r="N68" s="104"/>
      <c r="P68" s="13">
        <f t="shared" si="22"/>
        <v>1.0128046819111443</v>
      </c>
      <c r="Q68" s="5">
        <f t="shared" si="23"/>
        <v>756.76149574547901</v>
      </c>
      <c r="R68" s="13">
        <f t="shared" si="24"/>
        <v>1.0093411251331053</v>
      </c>
      <c r="S68" s="14">
        <f t="shared" si="25"/>
        <v>762.73940443000834</v>
      </c>
      <c r="T68" s="5">
        <f t="shared" si="26"/>
        <v>1.0076055091849014</v>
      </c>
      <c r="U68" s="5">
        <f t="shared" si="27"/>
        <v>765.81372226304541</v>
      </c>
      <c r="V68" s="13">
        <f t="shared" si="28"/>
        <v>1.0130367762778654</v>
      </c>
      <c r="W68" s="14">
        <f t="shared" si="29"/>
        <v>762.00984347825283</v>
      </c>
      <c r="X68" s="13">
        <f t="shared" si="30"/>
        <v>1.0109056174767643</v>
      </c>
      <c r="Y68" s="14">
        <f t="shared" si="31"/>
        <v>766.13707799849226</v>
      </c>
      <c r="Z68" s="13">
        <f t="shared" si="32"/>
        <v>1.0084652673783354</v>
      </c>
      <c r="AA68" s="14">
        <f t="shared" si="46"/>
        <v>770.4197011356116</v>
      </c>
      <c r="AB68" s="5">
        <f t="shared" si="33"/>
        <v>1.0118594490439843</v>
      </c>
      <c r="AC68" s="14">
        <f t="shared" si="34"/>
        <v>778.54475591461267</v>
      </c>
      <c r="AD68" s="13">
        <f t="shared" si="35"/>
        <v>1.0097455845525398</v>
      </c>
      <c r="AE68" s="14">
        <f t="shared" si="36"/>
        <v>782.41374300695213</v>
      </c>
      <c r="AF68" s="13">
        <f t="shared" si="37"/>
        <v>1.0073196714919088</v>
      </c>
      <c r="AG68" s="14">
        <f t="shared" si="38"/>
        <v>786.65364553854283</v>
      </c>
      <c r="AI68" s="13">
        <f t="shared" si="39"/>
        <v>1.0569278835316158</v>
      </c>
      <c r="AJ68" s="14">
        <f t="shared" si="40"/>
        <v>760.91147312639691</v>
      </c>
      <c r="AK68" s="13">
        <f t="shared" si="41"/>
        <v>1.0569278835316158</v>
      </c>
      <c r="AL68" s="14">
        <f t="shared" si="42"/>
        <v>761.24337321358621</v>
      </c>
      <c r="AM68" s="13">
        <f t="shared" si="43"/>
        <v>1.0569278835316158</v>
      </c>
      <c r="AN68" s="14">
        <f t="shared" si="44"/>
        <v>761.24337321358621</v>
      </c>
    </row>
    <row r="69" spans="1:40" x14ac:dyDescent="0.25">
      <c r="A69" s="51" t="s">
        <v>94</v>
      </c>
      <c r="B69" s="28">
        <f t="shared" ref="B69:J69" si="56">(B66/$U$45%)</f>
        <v>12.964187544733894</v>
      </c>
      <c r="C69" s="29">
        <f t="shared" si="56"/>
        <v>13.333200602419991</v>
      </c>
      <c r="D69" s="29">
        <f t="shared" si="56"/>
        <v>13.519170360946699</v>
      </c>
      <c r="E69" s="28">
        <f t="shared" si="56"/>
        <v>12.939498530653671</v>
      </c>
      <c r="F69" s="29">
        <f t="shared" si="56"/>
        <v>13.166477387121546</v>
      </c>
      <c r="G69" s="30">
        <f t="shared" si="56"/>
        <v>13.427144229818271</v>
      </c>
      <c r="H69" s="29">
        <f t="shared" si="56"/>
        <v>12.883659111989244</v>
      </c>
      <c r="I69" s="29">
        <f t="shared" si="56"/>
        <v>13.108641551258483</v>
      </c>
      <c r="J69" s="30">
        <f t="shared" si="56"/>
        <v>13.367586029562958</v>
      </c>
      <c r="L69" s="102">
        <f>(L66/$U$45%)</f>
        <v>12.550254262408744</v>
      </c>
      <c r="M69" s="103"/>
      <c r="N69" s="104"/>
      <c r="P69" s="13">
        <f t="shared" si="22"/>
        <v>1.0128046819111443</v>
      </c>
      <c r="Q69" s="5">
        <f t="shared" si="23"/>
        <v>756.76149574547901</v>
      </c>
      <c r="R69" s="13">
        <f t="shared" si="24"/>
        <v>1.0093411251331053</v>
      </c>
      <c r="S69" s="14">
        <f t="shared" si="25"/>
        <v>762.73940443000834</v>
      </c>
      <c r="T69" s="5">
        <f t="shared" si="26"/>
        <v>1.0076055091849014</v>
      </c>
      <c r="U69" s="5">
        <f t="shared" si="27"/>
        <v>765.81372226304541</v>
      </c>
      <c r="V69" s="13">
        <f t="shared" si="28"/>
        <v>1.0130367762778654</v>
      </c>
      <c r="W69" s="14">
        <f t="shared" si="29"/>
        <v>762.00984347825283</v>
      </c>
      <c r="X69" s="13">
        <f t="shared" si="30"/>
        <v>1.0109056174767643</v>
      </c>
      <c r="Y69" s="14">
        <f t="shared" si="31"/>
        <v>766.13707799849226</v>
      </c>
      <c r="Z69" s="13">
        <f t="shared" si="32"/>
        <v>1.0084652673783354</v>
      </c>
      <c r="AA69" s="14">
        <f t="shared" si="46"/>
        <v>770.4197011356116</v>
      </c>
      <c r="AB69" s="5">
        <f t="shared" si="33"/>
        <v>1.0118594490439843</v>
      </c>
      <c r="AC69" s="14">
        <f t="shared" si="34"/>
        <v>778.54475591461267</v>
      </c>
      <c r="AD69" s="13">
        <f t="shared" si="35"/>
        <v>1.0097455845525398</v>
      </c>
      <c r="AE69" s="14">
        <f t="shared" si="36"/>
        <v>782.41374300695213</v>
      </c>
      <c r="AF69" s="13">
        <f t="shared" si="37"/>
        <v>1.0073196714919088</v>
      </c>
      <c r="AG69" s="14">
        <f t="shared" si="38"/>
        <v>786.65364553854283</v>
      </c>
      <c r="AI69" s="13">
        <f t="shared" si="39"/>
        <v>1.0569278835316158</v>
      </c>
      <c r="AJ69" s="14">
        <f t="shared" si="40"/>
        <v>760.91147312639691</v>
      </c>
      <c r="AK69" s="13">
        <f t="shared" si="41"/>
        <v>1.0569278835316158</v>
      </c>
      <c r="AL69" s="14">
        <f t="shared" si="42"/>
        <v>761.24337321358621</v>
      </c>
      <c r="AM69" s="13">
        <f t="shared" si="43"/>
        <v>1.0569278835316158</v>
      </c>
      <c r="AN69" s="14">
        <f t="shared" si="44"/>
        <v>761.24337321358621</v>
      </c>
    </row>
    <row r="70" spans="1:40" ht="15.75" thickBot="1" x14ac:dyDescent="0.3">
      <c r="A70" s="53" t="s">
        <v>95</v>
      </c>
      <c r="B70" s="24">
        <f>SUM(B68:B69)</f>
        <v>19.960306561551487</v>
      </c>
      <c r="C70" s="25">
        <f t="shared" ref="C70:J70" si="57">SUM(C68:C69)</f>
        <v>20.329319619237584</v>
      </c>
      <c r="D70" s="25">
        <f t="shared" si="57"/>
        <v>20.515289377764294</v>
      </c>
      <c r="E70" s="24">
        <f t="shared" si="57"/>
        <v>19.935617547471264</v>
      </c>
      <c r="F70" s="25">
        <f t="shared" si="57"/>
        <v>20.162596403939141</v>
      </c>
      <c r="G70" s="26">
        <f t="shared" si="57"/>
        <v>20.423263246635866</v>
      </c>
      <c r="H70" s="25">
        <f t="shared" si="57"/>
        <v>19.879778128806837</v>
      </c>
      <c r="I70" s="25">
        <f t="shared" si="57"/>
        <v>20.104760568076077</v>
      </c>
      <c r="J70" s="26">
        <f t="shared" si="57"/>
        <v>20.363705046380552</v>
      </c>
      <c r="L70" s="99">
        <f>SUM(L68:L69)</f>
        <v>19.546373279226337</v>
      </c>
      <c r="M70" s="100"/>
      <c r="N70" s="101"/>
      <c r="P70" s="13">
        <f t="shared" si="22"/>
        <v>1.0128046819111443</v>
      </c>
      <c r="Q70" s="5">
        <f t="shared" si="23"/>
        <v>756.76149574547901</v>
      </c>
      <c r="R70" s="13">
        <f t="shared" si="24"/>
        <v>1.0093411251331053</v>
      </c>
      <c r="S70" s="14">
        <f t="shared" si="25"/>
        <v>762.73940443000834</v>
      </c>
      <c r="T70" s="5">
        <f t="shared" si="26"/>
        <v>1.0076055091849014</v>
      </c>
      <c r="U70" s="5">
        <f t="shared" si="27"/>
        <v>765.81372226304541</v>
      </c>
      <c r="V70" s="13">
        <f t="shared" si="28"/>
        <v>1.0130367762778654</v>
      </c>
      <c r="W70" s="14">
        <f t="shared" si="29"/>
        <v>762.00984347825283</v>
      </c>
      <c r="X70" s="13">
        <f t="shared" si="30"/>
        <v>1.0109056174767643</v>
      </c>
      <c r="Y70" s="14">
        <f t="shared" si="31"/>
        <v>766.13707799849226</v>
      </c>
      <c r="Z70" s="13">
        <f t="shared" si="32"/>
        <v>1.0084652673783354</v>
      </c>
      <c r="AA70" s="14">
        <f t="shared" si="46"/>
        <v>770.4197011356116</v>
      </c>
      <c r="AB70" s="5">
        <f t="shared" si="33"/>
        <v>1.0118594490439843</v>
      </c>
      <c r="AC70" s="14">
        <f t="shared" si="34"/>
        <v>778.54475591461267</v>
      </c>
      <c r="AD70" s="13">
        <f t="shared" si="35"/>
        <v>1.0097455845525398</v>
      </c>
      <c r="AE70" s="14">
        <f t="shared" si="36"/>
        <v>782.41374300695213</v>
      </c>
      <c r="AF70" s="13">
        <f t="shared" si="37"/>
        <v>1.0073196714919088</v>
      </c>
      <c r="AG70" s="14">
        <f t="shared" si="38"/>
        <v>786.65364553854283</v>
      </c>
      <c r="AI70" s="13">
        <f t="shared" si="39"/>
        <v>1.0569278835316158</v>
      </c>
      <c r="AJ70" s="14">
        <f t="shared" si="40"/>
        <v>760.91147312639691</v>
      </c>
      <c r="AK70" s="13">
        <f t="shared" si="41"/>
        <v>1.0569278835316158</v>
      </c>
      <c r="AL70" s="14">
        <f t="shared" si="42"/>
        <v>761.24337321358621</v>
      </c>
      <c r="AM70" s="13">
        <f t="shared" si="43"/>
        <v>1.0569278835316158</v>
      </c>
      <c r="AN70" s="14">
        <f t="shared" si="44"/>
        <v>761.24337321358621</v>
      </c>
    </row>
    <row r="71" spans="1:40" ht="15.75" thickBot="1" x14ac:dyDescent="0.3">
      <c r="P71" s="13">
        <f t="shared" si="22"/>
        <v>1.0128046819111443</v>
      </c>
      <c r="Q71" s="5">
        <f t="shared" si="23"/>
        <v>756.76149574547901</v>
      </c>
      <c r="R71" s="13">
        <f t="shared" si="24"/>
        <v>1.0093411251331053</v>
      </c>
      <c r="S71" s="14">
        <f t="shared" si="25"/>
        <v>762.73940443000834</v>
      </c>
      <c r="T71" s="5">
        <f t="shared" si="26"/>
        <v>1.0076055091849014</v>
      </c>
      <c r="U71" s="5">
        <f t="shared" si="27"/>
        <v>765.81372226304541</v>
      </c>
      <c r="V71" s="13">
        <f t="shared" si="28"/>
        <v>1.0130367762778654</v>
      </c>
      <c r="W71" s="14">
        <f t="shared" si="29"/>
        <v>762.00984347825283</v>
      </c>
      <c r="X71" s="13">
        <f t="shared" si="30"/>
        <v>1.0109056174767643</v>
      </c>
      <c r="Y71" s="14">
        <f t="shared" si="31"/>
        <v>766.13707799849226</v>
      </c>
      <c r="Z71" s="13">
        <f t="shared" si="32"/>
        <v>1.0084652673783354</v>
      </c>
      <c r="AA71" s="14">
        <f t="shared" si="46"/>
        <v>770.4197011356116</v>
      </c>
      <c r="AB71" s="5">
        <f t="shared" si="33"/>
        <v>1.0118594490439843</v>
      </c>
      <c r="AC71" s="14">
        <f t="shared" si="34"/>
        <v>778.54475591461267</v>
      </c>
      <c r="AD71" s="13">
        <f t="shared" si="35"/>
        <v>1.0097455845525398</v>
      </c>
      <c r="AE71" s="14">
        <f t="shared" si="36"/>
        <v>782.41374300695213</v>
      </c>
      <c r="AF71" s="13">
        <f t="shared" si="37"/>
        <v>1.0073196714919088</v>
      </c>
      <c r="AG71" s="14">
        <f t="shared" si="38"/>
        <v>786.65364553854283</v>
      </c>
      <c r="AI71" s="13">
        <f t="shared" si="39"/>
        <v>1.0569278835316158</v>
      </c>
      <c r="AJ71" s="14">
        <f t="shared" si="40"/>
        <v>760.91147312639691</v>
      </c>
      <c r="AK71" s="13">
        <f t="shared" si="41"/>
        <v>1.0569278835316158</v>
      </c>
      <c r="AL71" s="14">
        <f t="shared" si="42"/>
        <v>761.24337321358621</v>
      </c>
      <c r="AM71" s="13">
        <f t="shared" si="43"/>
        <v>1.0569278835316158</v>
      </c>
      <c r="AN71" s="14">
        <f t="shared" si="44"/>
        <v>761.24337321358621</v>
      </c>
    </row>
    <row r="72" spans="1:40" ht="15.75" thickBot="1" x14ac:dyDescent="0.3">
      <c r="A72" s="54" t="s">
        <v>102</v>
      </c>
      <c r="B72" s="75">
        <f>(95.6*R3)/1000</f>
        <v>49.712000000000003</v>
      </c>
      <c r="C72" s="77"/>
      <c r="D72" s="77"/>
      <c r="E72" s="77"/>
      <c r="F72" s="77"/>
      <c r="G72" s="77"/>
      <c r="H72" s="77"/>
      <c r="I72" s="77"/>
      <c r="J72" s="79"/>
      <c r="L72" s="75">
        <f>(95.6*R3)/1000</f>
        <v>49.712000000000003</v>
      </c>
      <c r="M72" s="77"/>
      <c r="N72" s="79"/>
      <c r="P72" s="13">
        <f t="shared" si="22"/>
        <v>1.0128046819111443</v>
      </c>
      <c r="Q72" s="5">
        <f t="shared" si="23"/>
        <v>756.76149574547901</v>
      </c>
      <c r="R72" s="13">
        <f t="shared" si="24"/>
        <v>1.0093411251331053</v>
      </c>
      <c r="S72" s="14">
        <f t="shared" si="25"/>
        <v>762.73940443000834</v>
      </c>
      <c r="T72" s="5">
        <f t="shared" si="26"/>
        <v>1.0076055091849014</v>
      </c>
      <c r="U72" s="5">
        <f t="shared" si="27"/>
        <v>765.81372226304541</v>
      </c>
      <c r="V72" s="13">
        <f t="shared" si="28"/>
        <v>1.0130367762778654</v>
      </c>
      <c r="W72" s="14">
        <f t="shared" si="29"/>
        <v>762.00984347825283</v>
      </c>
      <c r="X72" s="13">
        <f t="shared" si="30"/>
        <v>1.0109056174767643</v>
      </c>
      <c r="Y72" s="14">
        <f t="shared" si="31"/>
        <v>766.13707799849226</v>
      </c>
      <c r="Z72" s="13">
        <f t="shared" si="32"/>
        <v>1.0084652673783354</v>
      </c>
      <c r="AA72" s="14">
        <f t="shared" si="46"/>
        <v>770.4197011356116</v>
      </c>
      <c r="AB72" s="5">
        <f t="shared" si="33"/>
        <v>1.0118594490439843</v>
      </c>
      <c r="AC72" s="14">
        <f t="shared" si="34"/>
        <v>778.54475591461267</v>
      </c>
      <c r="AD72" s="13">
        <f t="shared" si="35"/>
        <v>1.0097455845525398</v>
      </c>
      <c r="AE72" s="14">
        <f t="shared" si="36"/>
        <v>782.41374300695213</v>
      </c>
      <c r="AF72" s="13">
        <f t="shared" si="37"/>
        <v>1.0073196714919088</v>
      </c>
      <c r="AG72" s="14">
        <f t="shared" si="38"/>
        <v>786.65364553854283</v>
      </c>
      <c r="AI72" s="13">
        <f t="shared" si="39"/>
        <v>1.0569278835316158</v>
      </c>
      <c r="AJ72" s="14">
        <f t="shared" si="40"/>
        <v>760.91147312639691</v>
      </c>
      <c r="AK72" s="13">
        <f t="shared" si="41"/>
        <v>1.0569278835316158</v>
      </c>
      <c r="AL72" s="14">
        <f t="shared" si="42"/>
        <v>761.24337321358621</v>
      </c>
      <c r="AM72" s="13">
        <f t="shared" si="43"/>
        <v>1.0569278835316158</v>
      </c>
      <c r="AN72" s="14">
        <f t="shared" si="44"/>
        <v>761.24337321358621</v>
      </c>
    </row>
    <row r="73" spans="1:40" x14ac:dyDescent="0.25">
      <c r="A73" s="50" t="s">
        <v>103</v>
      </c>
      <c r="B73" s="22">
        <f>($P$16*(1.25*S14^0.33))</f>
        <v>13.641804983463226</v>
      </c>
      <c r="C73" s="11">
        <f>($P$16*(1.25*V14^0.33))</f>
        <v>13.784511934977361</v>
      </c>
      <c r="D73" s="11">
        <f>($P$16*(1.25*Y14^0.33))</f>
        <v>13.85549057753134</v>
      </c>
      <c r="E73" s="22">
        <f>($P$16*(1.25*T14^0.33))</f>
        <v>13.632166369076192</v>
      </c>
      <c r="F73" s="11">
        <f>($P$16*(1.25*W14^0.33))</f>
        <v>13.720347586699393</v>
      </c>
      <c r="G73" s="12">
        <f>($P$16*(1.25*Z14^0.33))</f>
        <v>13.820444494858108</v>
      </c>
      <c r="H73" s="11">
        <f>($P$16*(1.25*U14^0.33))</f>
        <v>13.610323843023689</v>
      </c>
      <c r="I73" s="11">
        <f>($P$16*(1.25*X14^0.33))</f>
        <v>13.697969772527532</v>
      </c>
      <c r="J73" s="12">
        <f>($P$16*(1.25*AA14^0.33))</f>
        <v>13.797682467124382</v>
      </c>
      <c r="L73" s="105">
        <f>($R$8*(1.25*Q8^0.33))</f>
        <v>13.478650857396017</v>
      </c>
      <c r="M73" s="106"/>
      <c r="N73" s="107"/>
      <c r="P73" s="13">
        <f t="shared" si="22"/>
        <v>1.0128046819111443</v>
      </c>
      <c r="Q73" s="5">
        <f t="shared" si="23"/>
        <v>756.76149574547901</v>
      </c>
      <c r="R73" s="13">
        <f t="shared" si="24"/>
        <v>1.0093411251331053</v>
      </c>
      <c r="S73" s="14">
        <f t="shared" si="25"/>
        <v>762.73940443000834</v>
      </c>
      <c r="T73" s="5">
        <f t="shared" si="26"/>
        <v>1.0076055091849014</v>
      </c>
      <c r="U73" s="5">
        <f t="shared" si="27"/>
        <v>765.81372226304541</v>
      </c>
      <c r="V73" s="13">
        <f t="shared" si="28"/>
        <v>1.0130367762778654</v>
      </c>
      <c r="W73" s="14">
        <f t="shared" si="29"/>
        <v>762.00984347825283</v>
      </c>
      <c r="X73" s="13">
        <f t="shared" si="30"/>
        <v>1.0109056174767643</v>
      </c>
      <c r="Y73" s="14">
        <f t="shared" si="31"/>
        <v>766.13707799849226</v>
      </c>
      <c r="Z73" s="13">
        <f t="shared" si="32"/>
        <v>1.0084652673783354</v>
      </c>
      <c r="AA73" s="14">
        <f t="shared" si="46"/>
        <v>770.4197011356116</v>
      </c>
      <c r="AB73" s="5">
        <f t="shared" si="33"/>
        <v>1.0118594490439843</v>
      </c>
      <c r="AC73" s="14">
        <f t="shared" si="34"/>
        <v>778.54475591461267</v>
      </c>
      <c r="AD73" s="13">
        <f t="shared" si="35"/>
        <v>1.0097455845525398</v>
      </c>
      <c r="AE73" s="14">
        <f t="shared" si="36"/>
        <v>782.41374300695213</v>
      </c>
      <c r="AF73" s="13">
        <f t="shared" si="37"/>
        <v>1.0073196714919088</v>
      </c>
      <c r="AG73" s="14">
        <f t="shared" si="38"/>
        <v>786.65364553854283</v>
      </c>
      <c r="AI73" s="13">
        <f t="shared" si="39"/>
        <v>1.0569278835316158</v>
      </c>
      <c r="AJ73" s="14">
        <f t="shared" si="40"/>
        <v>760.91147312639691</v>
      </c>
      <c r="AK73" s="13">
        <f t="shared" si="41"/>
        <v>1.0569278835316158</v>
      </c>
      <c r="AL73" s="14">
        <f t="shared" si="42"/>
        <v>761.24337321358621</v>
      </c>
      <c r="AM73" s="13">
        <f t="shared" si="43"/>
        <v>1.0569278835316158</v>
      </c>
      <c r="AN73" s="14">
        <f t="shared" si="44"/>
        <v>761.24337321358621</v>
      </c>
    </row>
    <row r="74" spans="1:40" x14ac:dyDescent="0.25">
      <c r="A74" s="50" t="s">
        <v>104</v>
      </c>
      <c r="B74" s="13">
        <f>($B$72+B73)</f>
        <v>63.353804983463228</v>
      </c>
      <c r="C74" s="5">
        <f t="shared" ref="C74:J74" si="58">($B$72+C73)</f>
        <v>63.496511934977363</v>
      </c>
      <c r="D74" s="5">
        <f t="shared" si="58"/>
        <v>63.567490577531345</v>
      </c>
      <c r="E74" s="13">
        <f t="shared" si="58"/>
        <v>63.344166369076191</v>
      </c>
      <c r="F74" s="5">
        <f t="shared" si="58"/>
        <v>63.432347586699393</v>
      </c>
      <c r="G74" s="14">
        <f t="shared" si="58"/>
        <v>63.532444494858112</v>
      </c>
      <c r="H74" s="5">
        <f t="shared" si="58"/>
        <v>63.322323843023696</v>
      </c>
      <c r="I74" s="5">
        <f t="shared" si="58"/>
        <v>63.409969772527532</v>
      </c>
      <c r="J74" s="14">
        <f t="shared" si="58"/>
        <v>63.509682467124385</v>
      </c>
      <c r="L74" s="105">
        <f>($L$72+L73)</f>
        <v>63.190650857396022</v>
      </c>
      <c r="M74" s="106"/>
      <c r="N74" s="107"/>
      <c r="P74" s="13">
        <f t="shared" si="22"/>
        <v>1.0128046819111443</v>
      </c>
      <c r="Q74" s="5">
        <f t="shared" si="23"/>
        <v>756.76149574547901</v>
      </c>
      <c r="R74" s="13">
        <f t="shared" si="24"/>
        <v>1.0093411251331053</v>
      </c>
      <c r="S74" s="14">
        <f t="shared" si="25"/>
        <v>762.73940443000834</v>
      </c>
      <c r="T74" s="5">
        <f t="shared" si="26"/>
        <v>1.0076055091849014</v>
      </c>
      <c r="U74" s="5">
        <f t="shared" si="27"/>
        <v>765.81372226304541</v>
      </c>
      <c r="V74" s="13">
        <f t="shared" si="28"/>
        <v>1.0130367762778654</v>
      </c>
      <c r="W74" s="14">
        <f t="shared" si="29"/>
        <v>762.00984347825283</v>
      </c>
      <c r="X74" s="13">
        <f t="shared" si="30"/>
        <v>1.0109056174767643</v>
      </c>
      <c r="Y74" s="14">
        <f t="shared" si="31"/>
        <v>766.13707799849226</v>
      </c>
      <c r="Z74" s="13">
        <f t="shared" si="32"/>
        <v>1.0084652673783354</v>
      </c>
      <c r="AA74" s="14">
        <f t="shared" si="46"/>
        <v>770.4197011356116</v>
      </c>
      <c r="AB74" s="5">
        <f t="shared" si="33"/>
        <v>1.0118594490439843</v>
      </c>
      <c r="AC74" s="14">
        <f t="shared" si="34"/>
        <v>778.54475591461267</v>
      </c>
      <c r="AD74" s="13">
        <f t="shared" si="35"/>
        <v>1.0097455845525398</v>
      </c>
      <c r="AE74" s="14">
        <f t="shared" si="36"/>
        <v>782.41374300695213</v>
      </c>
      <c r="AF74" s="13">
        <f t="shared" si="37"/>
        <v>1.0073196714919088</v>
      </c>
      <c r="AG74" s="14">
        <f t="shared" si="38"/>
        <v>786.65364553854283</v>
      </c>
      <c r="AI74" s="13">
        <f t="shared" si="39"/>
        <v>1.0569278835316158</v>
      </c>
      <c r="AJ74" s="14">
        <f t="shared" si="40"/>
        <v>760.91147312639691</v>
      </c>
      <c r="AK74" s="13">
        <f t="shared" si="41"/>
        <v>1.0569278835316158</v>
      </c>
      <c r="AL74" s="14">
        <f t="shared" si="42"/>
        <v>761.24337321358621</v>
      </c>
      <c r="AM74" s="13">
        <f t="shared" si="43"/>
        <v>1.0569278835316158</v>
      </c>
      <c r="AN74" s="14">
        <f t="shared" si="44"/>
        <v>761.24337321358621</v>
      </c>
    </row>
    <row r="75" spans="1:40" x14ac:dyDescent="0.25">
      <c r="A75" s="51" t="s">
        <v>105</v>
      </c>
      <c r="B75" s="28">
        <f t="shared" ref="B75:J75" si="59">($B$72/$V$45%)</f>
        <v>67.635374149659867</v>
      </c>
      <c r="C75" s="29">
        <f t="shared" si="59"/>
        <v>67.635374149659867</v>
      </c>
      <c r="D75" s="29">
        <f t="shared" si="59"/>
        <v>67.635374149659867</v>
      </c>
      <c r="E75" s="28">
        <f t="shared" si="59"/>
        <v>67.635374149659867</v>
      </c>
      <c r="F75" s="29">
        <f t="shared" si="59"/>
        <v>67.635374149659867</v>
      </c>
      <c r="G75" s="30">
        <f t="shared" si="59"/>
        <v>67.635374149659867</v>
      </c>
      <c r="H75" s="29">
        <f t="shared" si="59"/>
        <v>67.635374149659867</v>
      </c>
      <c r="I75" s="29">
        <f t="shared" si="59"/>
        <v>67.635374149659867</v>
      </c>
      <c r="J75" s="30">
        <f t="shared" si="59"/>
        <v>67.635374149659867</v>
      </c>
      <c r="L75" s="102">
        <f>($L$72/$V$45%)</f>
        <v>67.635374149659867</v>
      </c>
      <c r="M75" s="103"/>
      <c r="N75" s="104"/>
      <c r="P75" s="13">
        <f t="shared" si="22"/>
        <v>1.0128046819111443</v>
      </c>
      <c r="Q75" s="5">
        <f t="shared" si="23"/>
        <v>756.76149574547901</v>
      </c>
      <c r="R75" s="13">
        <f t="shared" si="24"/>
        <v>1.0093411251331053</v>
      </c>
      <c r="S75" s="14">
        <f t="shared" si="25"/>
        <v>762.73940443000834</v>
      </c>
      <c r="T75" s="5">
        <f t="shared" si="26"/>
        <v>1.0076055091849014</v>
      </c>
      <c r="U75" s="5">
        <f t="shared" si="27"/>
        <v>765.81372226304541</v>
      </c>
      <c r="V75" s="13">
        <f t="shared" si="28"/>
        <v>1.0130367762778654</v>
      </c>
      <c r="W75" s="14">
        <f t="shared" si="29"/>
        <v>762.00984347825283</v>
      </c>
      <c r="X75" s="13">
        <f t="shared" si="30"/>
        <v>1.0109056174767643</v>
      </c>
      <c r="Y75" s="14">
        <f t="shared" si="31"/>
        <v>766.13707799849226</v>
      </c>
      <c r="Z75" s="13">
        <f t="shared" si="32"/>
        <v>1.0084652673783354</v>
      </c>
      <c r="AA75" s="14">
        <f t="shared" si="46"/>
        <v>770.4197011356116</v>
      </c>
      <c r="AB75" s="5">
        <f t="shared" si="33"/>
        <v>1.0118594490439843</v>
      </c>
      <c r="AC75" s="14">
        <f t="shared" si="34"/>
        <v>778.54475591461267</v>
      </c>
      <c r="AD75" s="13">
        <f t="shared" si="35"/>
        <v>1.0097455845525398</v>
      </c>
      <c r="AE75" s="14">
        <f t="shared" si="36"/>
        <v>782.41374300695213</v>
      </c>
      <c r="AF75" s="13">
        <f t="shared" si="37"/>
        <v>1.0073196714919088</v>
      </c>
      <c r="AG75" s="14">
        <f t="shared" si="38"/>
        <v>786.65364553854283</v>
      </c>
      <c r="AI75" s="13">
        <f t="shared" si="39"/>
        <v>1.0569278835316158</v>
      </c>
      <c r="AJ75" s="14">
        <f t="shared" si="40"/>
        <v>760.91147312639691</v>
      </c>
      <c r="AK75" s="13">
        <f t="shared" si="41"/>
        <v>1.0569278835316158</v>
      </c>
      <c r="AL75" s="14">
        <f t="shared" si="42"/>
        <v>761.24337321358621</v>
      </c>
      <c r="AM75" s="13">
        <f t="shared" si="43"/>
        <v>1.0569278835316158</v>
      </c>
      <c r="AN75" s="14">
        <f t="shared" si="44"/>
        <v>761.24337321358621</v>
      </c>
    </row>
    <row r="76" spans="1:40" x14ac:dyDescent="0.25">
      <c r="A76" s="51" t="s">
        <v>106</v>
      </c>
      <c r="B76" s="28">
        <f t="shared" ref="B76:J76" si="60">(B73/$V$45%)</f>
        <v>18.560278889065614</v>
      </c>
      <c r="C76" s="29">
        <f t="shared" si="60"/>
        <v>18.75443800677192</v>
      </c>
      <c r="D76" s="29">
        <f t="shared" si="60"/>
        <v>18.851007588478012</v>
      </c>
      <c r="E76" s="28">
        <f t="shared" si="60"/>
        <v>18.54716512799482</v>
      </c>
      <c r="F76" s="29">
        <f t="shared" si="60"/>
        <v>18.667139573740673</v>
      </c>
      <c r="G76" s="30">
        <f t="shared" si="60"/>
        <v>18.803325843344364</v>
      </c>
      <c r="H76" s="29">
        <f t="shared" si="60"/>
        <v>18.517447405474407</v>
      </c>
      <c r="I76" s="29">
        <f t="shared" si="60"/>
        <v>18.636693568064668</v>
      </c>
      <c r="J76" s="30">
        <f t="shared" si="60"/>
        <v>18.77235709812841</v>
      </c>
      <c r="L76" s="102">
        <f>(L73/$V$45%)</f>
        <v>18.338300486253086</v>
      </c>
      <c r="M76" s="103"/>
      <c r="N76" s="104"/>
      <c r="P76" s="13">
        <f t="shared" si="22"/>
        <v>1.0128046819111443</v>
      </c>
      <c r="Q76" s="5">
        <f t="shared" si="23"/>
        <v>756.76149574547901</v>
      </c>
      <c r="R76" s="13">
        <f t="shared" si="24"/>
        <v>1.0093411251331053</v>
      </c>
      <c r="S76" s="14">
        <f t="shared" si="25"/>
        <v>762.73940443000834</v>
      </c>
      <c r="T76" s="5">
        <f t="shared" si="26"/>
        <v>1.0076055091849014</v>
      </c>
      <c r="U76" s="5">
        <f t="shared" si="27"/>
        <v>765.81372226304541</v>
      </c>
      <c r="V76" s="13">
        <f t="shared" si="28"/>
        <v>1.0130367762778654</v>
      </c>
      <c r="W76" s="14">
        <f t="shared" si="29"/>
        <v>762.00984347825283</v>
      </c>
      <c r="X76" s="13">
        <f t="shared" si="30"/>
        <v>1.0109056174767643</v>
      </c>
      <c r="Y76" s="14">
        <f t="shared" si="31"/>
        <v>766.13707799849226</v>
      </c>
      <c r="Z76" s="13">
        <f t="shared" si="32"/>
        <v>1.0084652673783354</v>
      </c>
      <c r="AA76" s="14">
        <f t="shared" si="46"/>
        <v>770.4197011356116</v>
      </c>
      <c r="AB76" s="5">
        <f t="shared" si="33"/>
        <v>1.0118594490439843</v>
      </c>
      <c r="AC76" s="14">
        <f t="shared" si="34"/>
        <v>778.54475591461267</v>
      </c>
      <c r="AD76" s="13">
        <f t="shared" si="35"/>
        <v>1.0097455845525398</v>
      </c>
      <c r="AE76" s="14">
        <f t="shared" si="36"/>
        <v>782.41374300695213</v>
      </c>
      <c r="AF76" s="13">
        <f t="shared" si="37"/>
        <v>1.0073196714919088</v>
      </c>
      <c r="AG76" s="14">
        <f t="shared" si="38"/>
        <v>786.65364553854283</v>
      </c>
      <c r="AI76" s="13">
        <f t="shared" si="39"/>
        <v>1.0569278835316158</v>
      </c>
      <c r="AJ76" s="14">
        <f t="shared" si="40"/>
        <v>760.91147312639691</v>
      </c>
      <c r="AK76" s="13">
        <f t="shared" si="41"/>
        <v>1.0569278835316158</v>
      </c>
      <c r="AL76" s="14">
        <f t="shared" si="42"/>
        <v>761.24337321358621</v>
      </c>
      <c r="AM76" s="13">
        <f t="shared" si="43"/>
        <v>1.0569278835316158</v>
      </c>
      <c r="AN76" s="14">
        <f t="shared" si="44"/>
        <v>761.24337321358621</v>
      </c>
    </row>
    <row r="77" spans="1:40" ht="15.75" thickBot="1" x14ac:dyDescent="0.3">
      <c r="A77" s="53" t="s">
        <v>107</v>
      </c>
      <c r="B77" s="24">
        <f>SUM(B75:B76)</f>
        <v>86.195653038725482</v>
      </c>
      <c r="C77" s="25">
        <f t="shared" ref="C77:J77" si="61">SUM(C75:C76)</f>
        <v>86.389812156431788</v>
      </c>
      <c r="D77" s="25">
        <f t="shared" si="61"/>
        <v>86.486381738137879</v>
      </c>
      <c r="E77" s="24">
        <f t="shared" si="61"/>
        <v>86.182539277654683</v>
      </c>
      <c r="F77" s="25">
        <f t="shared" si="61"/>
        <v>86.302513723400537</v>
      </c>
      <c r="G77" s="26">
        <f t="shared" si="61"/>
        <v>86.438699993004235</v>
      </c>
      <c r="H77" s="25">
        <f t="shared" si="61"/>
        <v>86.152821555134267</v>
      </c>
      <c r="I77" s="25">
        <f t="shared" si="61"/>
        <v>86.272067717724539</v>
      </c>
      <c r="J77" s="26">
        <f t="shared" si="61"/>
        <v>86.407731247788277</v>
      </c>
      <c r="L77" s="99">
        <f>SUM(L75:L76)</f>
        <v>85.973674635912957</v>
      </c>
      <c r="M77" s="100"/>
      <c r="N77" s="101"/>
      <c r="P77" s="13">
        <f t="shared" si="22"/>
        <v>1.0128046819111443</v>
      </c>
      <c r="Q77" s="5">
        <f t="shared" si="23"/>
        <v>756.76149574547901</v>
      </c>
      <c r="R77" s="13">
        <f t="shared" si="24"/>
        <v>1.0093411251331053</v>
      </c>
      <c r="S77" s="14">
        <f t="shared" si="25"/>
        <v>762.73940443000834</v>
      </c>
      <c r="T77" s="5">
        <f t="shared" si="26"/>
        <v>1.0076055091849014</v>
      </c>
      <c r="U77" s="5">
        <f t="shared" si="27"/>
        <v>765.81372226304541</v>
      </c>
      <c r="V77" s="13">
        <f t="shared" si="28"/>
        <v>1.0130367762778654</v>
      </c>
      <c r="W77" s="14">
        <f t="shared" si="29"/>
        <v>762.00984347825283</v>
      </c>
      <c r="X77" s="13">
        <f t="shared" si="30"/>
        <v>1.0109056174767643</v>
      </c>
      <c r="Y77" s="14">
        <f t="shared" si="31"/>
        <v>766.13707799849226</v>
      </c>
      <c r="Z77" s="13">
        <f t="shared" si="32"/>
        <v>1.0084652673783354</v>
      </c>
      <c r="AA77" s="14">
        <f t="shared" si="46"/>
        <v>770.4197011356116</v>
      </c>
      <c r="AB77" s="5">
        <f t="shared" si="33"/>
        <v>1.0118594490439843</v>
      </c>
      <c r="AC77" s="14">
        <f t="shared" si="34"/>
        <v>778.54475591461267</v>
      </c>
      <c r="AD77" s="13">
        <f t="shared" si="35"/>
        <v>1.0097455845525398</v>
      </c>
      <c r="AE77" s="14">
        <f t="shared" si="36"/>
        <v>782.41374300695213</v>
      </c>
      <c r="AF77" s="13">
        <f t="shared" si="37"/>
        <v>1.0073196714919088</v>
      </c>
      <c r="AG77" s="14">
        <f t="shared" si="38"/>
        <v>786.65364553854283</v>
      </c>
      <c r="AI77" s="13">
        <f t="shared" si="39"/>
        <v>1.0569278835316158</v>
      </c>
      <c r="AJ77" s="14">
        <f t="shared" si="40"/>
        <v>760.91147312639691</v>
      </c>
      <c r="AK77" s="13">
        <f t="shared" si="41"/>
        <v>1.0569278835316158</v>
      </c>
      <c r="AL77" s="14">
        <f t="shared" si="42"/>
        <v>761.24337321358621</v>
      </c>
      <c r="AM77" s="13">
        <f t="shared" si="43"/>
        <v>1.0569278835316158</v>
      </c>
      <c r="AN77" s="14">
        <f t="shared" si="44"/>
        <v>761.24337321358621</v>
      </c>
    </row>
    <row r="78" spans="1:40" ht="15.75" thickBot="1" x14ac:dyDescent="0.3">
      <c r="P78" s="13">
        <f t="shared" si="22"/>
        <v>1.0128046819111443</v>
      </c>
      <c r="Q78" s="5">
        <f t="shared" si="23"/>
        <v>756.76149574547901</v>
      </c>
      <c r="R78" s="13">
        <f t="shared" si="24"/>
        <v>1.0093411251331053</v>
      </c>
      <c r="S78" s="14">
        <f t="shared" si="25"/>
        <v>762.73940443000834</v>
      </c>
      <c r="T78" s="5">
        <f t="shared" si="26"/>
        <v>1.0076055091849014</v>
      </c>
      <c r="U78" s="5">
        <f t="shared" si="27"/>
        <v>765.81372226304541</v>
      </c>
      <c r="V78" s="13">
        <f t="shared" si="28"/>
        <v>1.0130367762778654</v>
      </c>
      <c r="W78" s="14">
        <f t="shared" si="29"/>
        <v>762.00984347825283</v>
      </c>
      <c r="X78" s="13">
        <f t="shared" si="30"/>
        <v>1.0109056174767643</v>
      </c>
      <c r="Y78" s="14">
        <f t="shared" si="31"/>
        <v>766.13707799849226</v>
      </c>
      <c r="Z78" s="13">
        <f t="shared" si="32"/>
        <v>1.0084652673783354</v>
      </c>
      <c r="AA78" s="14">
        <f t="shared" si="46"/>
        <v>770.4197011356116</v>
      </c>
      <c r="AB78" s="5">
        <f t="shared" si="33"/>
        <v>1.0118594490439843</v>
      </c>
      <c r="AC78" s="14">
        <f t="shared" si="34"/>
        <v>778.54475591461267</v>
      </c>
      <c r="AD78" s="13">
        <f t="shared" si="35"/>
        <v>1.0097455845525398</v>
      </c>
      <c r="AE78" s="14">
        <f t="shared" si="36"/>
        <v>782.41374300695213</v>
      </c>
      <c r="AF78" s="13">
        <f t="shared" si="37"/>
        <v>1.0073196714919088</v>
      </c>
      <c r="AG78" s="14">
        <f t="shared" si="38"/>
        <v>786.65364553854283</v>
      </c>
      <c r="AI78" s="13">
        <f t="shared" si="39"/>
        <v>1.0569278835316158</v>
      </c>
      <c r="AJ78" s="14">
        <f t="shared" si="40"/>
        <v>760.91147312639691</v>
      </c>
      <c r="AK78" s="13">
        <f t="shared" si="41"/>
        <v>1.0569278835316158</v>
      </c>
      <c r="AL78" s="14">
        <f t="shared" si="42"/>
        <v>761.24337321358621</v>
      </c>
      <c r="AM78" s="13">
        <f t="shared" si="43"/>
        <v>1.0569278835316158</v>
      </c>
      <c r="AN78" s="14">
        <f t="shared" si="44"/>
        <v>761.24337321358621</v>
      </c>
    </row>
    <row r="79" spans="1:40" ht="15.75" thickBot="1" x14ac:dyDescent="0.3">
      <c r="A79" s="54" t="s">
        <v>108</v>
      </c>
      <c r="B79" s="75">
        <f>(13.5*R3)/1000</f>
        <v>7.02</v>
      </c>
      <c r="C79" s="77"/>
      <c r="D79" s="77"/>
      <c r="E79" s="77"/>
      <c r="F79" s="77"/>
      <c r="G79" s="77"/>
      <c r="H79" s="77"/>
      <c r="I79" s="77"/>
      <c r="J79" s="79"/>
      <c r="L79" s="75">
        <f>(13.5*R3)/1000</f>
        <v>7.02</v>
      </c>
      <c r="M79" s="77"/>
      <c r="N79" s="79"/>
      <c r="P79" s="13">
        <f t="shared" si="22"/>
        <v>1.0128046819111443</v>
      </c>
      <c r="Q79" s="5">
        <f t="shared" si="23"/>
        <v>756.76149574547901</v>
      </c>
      <c r="R79" s="13">
        <f t="shared" si="24"/>
        <v>1.0093411251331053</v>
      </c>
      <c r="S79" s="14">
        <f t="shared" si="25"/>
        <v>762.73940443000834</v>
      </c>
      <c r="T79" s="5">
        <f t="shared" si="26"/>
        <v>1.0076055091849014</v>
      </c>
      <c r="U79" s="5">
        <f t="shared" si="27"/>
        <v>765.81372226304541</v>
      </c>
      <c r="V79" s="13">
        <f t="shared" si="28"/>
        <v>1.0130367762778654</v>
      </c>
      <c r="W79" s="14">
        <f t="shared" si="29"/>
        <v>762.00984347825283</v>
      </c>
      <c r="X79" s="13">
        <f t="shared" si="30"/>
        <v>1.0109056174767643</v>
      </c>
      <c r="Y79" s="14">
        <f t="shared" si="31"/>
        <v>766.13707799849226</v>
      </c>
      <c r="Z79" s="13">
        <f t="shared" si="32"/>
        <v>1.0084652673783354</v>
      </c>
      <c r="AA79" s="14">
        <f t="shared" si="46"/>
        <v>770.4197011356116</v>
      </c>
      <c r="AB79" s="5">
        <f t="shared" si="33"/>
        <v>1.0118594490439843</v>
      </c>
      <c r="AC79" s="14">
        <f t="shared" si="34"/>
        <v>778.54475591461267</v>
      </c>
      <c r="AD79" s="13">
        <f t="shared" si="35"/>
        <v>1.0097455845525398</v>
      </c>
      <c r="AE79" s="14">
        <f t="shared" si="36"/>
        <v>782.41374300695213</v>
      </c>
      <c r="AF79" s="13">
        <f t="shared" si="37"/>
        <v>1.0073196714919088</v>
      </c>
      <c r="AG79" s="14">
        <f t="shared" si="38"/>
        <v>786.65364553854283</v>
      </c>
      <c r="AI79" s="13">
        <f t="shared" si="39"/>
        <v>1.0569278835316158</v>
      </c>
      <c r="AJ79" s="14">
        <f t="shared" si="40"/>
        <v>760.91147312639691</v>
      </c>
      <c r="AK79" s="13">
        <f t="shared" si="41"/>
        <v>1.0569278835316158</v>
      </c>
      <c r="AL79" s="14">
        <f t="shared" si="42"/>
        <v>761.24337321358621</v>
      </c>
      <c r="AM79" s="13">
        <f t="shared" si="43"/>
        <v>1.0569278835316158</v>
      </c>
      <c r="AN79" s="14">
        <f t="shared" si="44"/>
        <v>761.24337321358621</v>
      </c>
    </row>
    <row r="80" spans="1:40" x14ac:dyDescent="0.25">
      <c r="A80" s="50" t="s">
        <v>109</v>
      </c>
      <c r="B80" s="27">
        <f>($P$16*(0.045*S14^-0.023))</f>
        <v>5.6828134003192025E-2</v>
      </c>
      <c r="C80" s="17">
        <f>($P$16*(0.045*V14^-0.023))</f>
        <v>5.6786930764350901E-2</v>
      </c>
      <c r="D80" s="17">
        <f>($P$16*(0.045*Y14^-0.023))</f>
        <v>5.6766606954343296E-2</v>
      </c>
      <c r="E80" s="27">
        <f>($P$16*(0.045*T14^-0.023))</f>
        <v>5.6830933527408728E-2</v>
      </c>
      <c r="F80" s="17">
        <f>($P$16*(0.045*W14^-0.023))</f>
        <v>5.6805399962770828E-2</v>
      </c>
      <c r="G80" s="18">
        <f>($P$16*(0.045*Z14^-0.023))</f>
        <v>5.6776627989105544E-2</v>
      </c>
      <c r="H80" s="17">
        <f>($P$16*(0.045*U14^-0.023))</f>
        <v>5.6837285507132143E-2</v>
      </c>
      <c r="I80" s="17">
        <f>($P$16*(0.045*X14^-0.023))</f>
        <v>5.6811862977997028E-2</v>
      </c>
      <c r="J80" s="18">
        <f>($P$16*(0.045*AA14^-0.023))</f>
        <v>5.6783151107476067E-2</v>
      </c>
      <c r="L80" s="105">
        <f>($R$8*(0.045*Q8^-0.023))</f>
        <v>5.6875809553404218E-2</v>
      </c>
      <c r="M80" s="106"/>
      <c r="N80" s="107"/>
      <c r="P80" s="13">
        <f t="shared" si="22"/>
        <v>1.0128046819111443</v>
      </c>
      <c r="Q80" s="5">
        <f t="shared" si="23"/>
        <v>756.76149574547901</v>
      </c>
      <c r="R80" s="13">
        <f t="shared" si="24"/>
        <v>1.0093411251331053</v>
      </c>
      <c r="S80" s="14">
        <f t="shared" si="25"/>
        <v>762.73940443000834</v>
      </c>
      <c r="T80" s="5">
        <f t="shared" si="26"/>
        <v>1.0076055091849014</v>
      </c>
      <c r="U80" s="5">
        <f t="shared" si="27"/>
        <v>765.81372226304541</v>
      </c>
      <c r="V80" s="13">
        <f t="shared" si="28"/>
        <v>1.0130367762778654</v>
      </c>
      <c r="W80" s="14">
        <f t="shared" si="29"/>
        <v>762.00984347825283</v>
      </c>
      <c r="X80" s="13">
        <f t="shared" si="30"/>
        <v>1.0109056174767643</v>
      </c>
      <c r="Y80" s="14">
        <f t="shared" si="31"/>
        <v>766.13707799849226</v>
      </c>
      <c r="Z80" s="13">
        <f t="shared" si="32"/>
        <v>1.0084652673783354</v>
      </c>
      <c r="AA80" s="14">
        <f t="shared" si="46"/>
        <v>770.4197011356116</v>
      </c>
      <c r="AB80" s="5">
        <f t="shared" si="33"/>
        <v>1.0118594490439843</v>
      </c>
      <c r="AC80" s="14">
        <f t="shared" si="34"/>
        <v>778.54475591461267</v>
      </c>
      <c r="AD80" s="13">
        <f t="shared" si="35"/>
        <v>1.0097455845525398</v>
      </c>
      <c r="AE80" s="14">
        <f t="shared" si="36"/>
        <v>782.41374300695213</v>
      </c>
      <c r="AF80" s="13">
        <f t="shared" si="37"/>
        <v>1.0073196714919088</v>
      </c>
      <c r="AG80" s="14">
        <f t="shared" si="38"/>
        <v>786.65364553854283</v>
      </c>
      <c r="AI80" s="13">
        <f t="shared" si="39"/>
        <v>1.0569278835316158</v>
      </c>
      <c r="AJ80" s="14">
        <f t="shared" si="40"/>
        <v>760.91147312639691</v>
      </c>
      <c r="AK80" s="13">
        <f t="shared" si="41"/>
        <v>1.0569278835316158</v>
      </c>
      <c r="AL80" s="14">
        <f t="shared" si="42"/>
        <v>761.24337321358621</v>
      </c>
      <c r="AM80" s="13">
        <f t="shared" si="43"/>
        <v>1.0569278835316158</v>
      </c>
      <c r="AN80" s="14">
        <f t="shared" si="44"/>
        <v>761.24337321358621</v>
      </c>
    </row>
    <row r="81" spans="1:40" x14ac:dyDescent="0.25">
      <c r="A81" s="50" t="s">
        <v>110</v>
      </c>
      <c r="B81" s="13">
        <f>($B$79+B80)</f>
        <v>7.0768281340031916</v>
      </c>
      <c r="C81" s="5">
        <f t="shared" ref="C81:J81" si="62">($B$79+C80)</f>
        <v>7.0767869307643503</v>
      </c>
      <c r="D81" s="5">
        <f t="shared" si="62"/>
        <v>7.0767666069543429</v>
      </c>
      <c r="E81" s="13">
        <f t="shared" si="62"/>
        <v>7.0768309335274084</v>
      </c>
      <c r="F81" s="5">
        <f t="shared" si="62"/>
        <v>7.0768053999627707</v>
      </c>
      <c r="G81" s="14">
        <f t="shared" si="62"/>
        <v>7.0767766279891049</v>
      </c>
      <c r="H81" s="5">
        <f t="shared" si="62"/>
        <v>7.076837285507132</v>
      </c>
      <c r="I81" s="5">
        <f t="shared" si="62"/>
        <v>7.0768118629779968</v>
      </c>
      <c r="J81" s="14">
        <f t="shared" si="62"/>
        <v>7.0767831511074757</v>
      </c>
      <c r="L81" s="105">
        <f>(L79+L80)</f>
        <v>7.0768758095534041</v>
      </c>
      <c r="M81" s="106"/>
      <c r="N81" s="107"/>
      <c r="P81" s="13">
        <f t="shared" si="22"/>
        <v>1.0128046819111443</v>
      </c>
      <c r="Q81" s="5">
        <f t="shared" si="23"/>
        <v>756.76149574547901</v>
      </c>
      <c r="R81" s="13">
        <f t="shared" si="24"/>
        <v>1.0093411251331053</v>
      </c>
      <c r="S81" s="14">
        <f t="shared" si="25"/>
        <v>762.73940443000834</v>
      </c>
      <c r="T81" s="5">
        <f t="shared" si="26"/>
        <v>1.0076055091849014</v>
      </c>
      <c r="U81" s="5">
        <f t="shared" si="27"/>
        <v>765.81372226304541</v>
      </c>
      <c r="V81" s="13">
        <f t="shared" si="28"/>
        <v>1.0130367762778654</v>
      </c>
      <c r="W81" s="14">
        <f t="shared" si="29"/>
        <v>762.00984347825283</v>
      </c>
      <c r="X81" s="13">
        <f t="shared" si="30"/>
        <v>1.0109056174767643</v>
      </c>
      <c r="Y81" s="14">
        <f t="shared" si="31"/>
        <v>766.13707799849226</v>
      </c>
      <c r="Z81" s="13">
        <f t="shared" si="32"/>
        <v>1.0084652673783354</v>
      </c>
      <c r="AA81" s="14">
        <f t="shared" si="46"/>
        <v>770.4197011356116</v>
      </c>
      <c r="AB81" s="5">
        <f t="shared" si="33"/>
        <v>1.0118594490439843</v>
      </c>
      <c r="AC81" s="14">
        <f t="shared" si="34"/>
        <v>778.54475591461267</v>
      </c>
      <c r="AD81" s="13">
        <f t="shared" si="35"/>
        <v>1.0097455845525398</v>
      </c>
      <c r="AE81" s="14">
        <f t="shared" si="36"/>
        <v>782.41374300695213</v>
      </c>
      <c r="AF81" s="13">
        <f t="shared" si="37"/>
        <v>1.0073196714919088</v>
      </c>
      <c r="AG81" s="14">
        <f t="shared" si="38"/>
        <v>786.65364553854283</v>
      </c>
      <c r="AI81" s="13">
        <f t="shared" si="39"/>
        <v>1.0569278835316158</v>
      </c>
      <c r="AJ81" s="14">
        <f t="shared" si="40"/>
        <v>760.91147312639691</v>
      </c>
      <c r="AK81" s="13">
        <f t="shared" si="41"/>
        <v>1.0569278835316158</v>
      </c>
      <c r="AL81" s="14">
        <f t="shared" si="42"/>
        <v>761.24337321358621</v>
      </c>
      <c r="AM81" s="13">
        <f t="shared" si="43"/>
        <v>1.0569278835316158</v>
      </c>
      <c r="AN81" s="14">
        <f t="shared" si="44"/>
        <v>761.24337321358621</v>
      </c>
    </row>
    <row r="82" spans="1:40" x14ac:dyDescent="0.25">
      <c r="A82" s="51" t="s">
        <v>111</v>
      </c>
      <c r="B82" s="28">
        <f t="shared" ref="B82:J82" si="63">($B$79/$W$45%)</f>
        <v>8.0875576036866352</v>
      </c>
      <c r="C82" s="29">
        <f t="shared" si="63"/>
        <v>8.0875576036866352</v>
      </c>
      <c r="D82" s="29">
        <f t="shared" si="63"/>
        <v>8.0875576036866352</v>
      </c>
      <c r="E82" s="28">
        <f t="shared" si="63"/>
        <v>8.0875576036866352</v>
      </c>
      <c r="F82" s="29">
        <f t="shared" si="63"/>
        <v>8.0875576036866352</v>
      </c>
      <c r="G82" s="30">
        <f t="shared" si="63"/>
        <v>8.0875576036866352</v>
      </c>
      <c r="H82" s="29">
        <f t="shared" si="63"/>
        <v>8.0875576036866352</v>
      </c>
      <c r="I82" s="29">
        <f t="shared" si="63"/>
        <v>8.0875576036866352</v>
      </c>
      <c r="J82" s="30">
        <f t="shared" si="63"/>
        <v>8.0875576036866352</v>
      </c>
      <c r="L82" s="102">
        <f>(L79/W45%)</f>
        <v>8.0875576036866352</v>
      </c>
      <c r="M82" s="103"/>
      <c r="N82" s="104"/>
      <c r="P82" s="13">
        <f t="shared" si="22"/>
        <v>1.0128046819111443</v>
      </c>
      <c r="Q82" s="5">
        <f t="shared" si="23"/>
        <v>756.76149574547901</v>
      </c>
      <c r="R82" s="13">
        <f t="shared" si="24"/>
        <v>1.0093411251331053</v>
      </c>
      <c r="S82" s="14">
        <f t="shared" si="25"/>
        <v>762.73940443000834</v>
      </c>
      <c r="T82" s="5">
        <f t="shared" si="26"/>
        <v>1.0076055091849014</v>
      </c>
      <c r="U82" s="5">
        <f t="shared" si="27"/>
        <v>765.81372226304541</v>
      </c>
      <c r="V82" s="13">
        <f t="shared" si="28"/>
        <v>1.0130367762778654</v>
      </c>
      <c r="W82" s="14">
        <f t="shared" si="29"/>
        <v>762.00984347825283</v>
      </c>
      <c r="X82" s="13">
        <f t="shared" si="30"/>
        <v>1.0109056174767643</v>
      </c>
      <c r="Y82" s="14">
        <f t="shared" si="31"/>
        <v>766.13707799849226</v>
      </c>
      <c r="Z82" s="13">
        <f t="shared" si="32"/>
        <v>1.0084652673783354</v>
      </c>
      <c r="AA82" s="14">
        <f t="shared" si="46"/>
        <v>770.4197011356116</v>
      </c>
      <c r="AB82" s="5">
        <f t="shared" si="33"/>
        <v>1.0118594490439843</v>
      </c>
      <c r="AC82" s="14">
        <f t="shared" si="34"/>
        <v>778.54475591461267</v>
      </c>
      <c r="AD82" s="13">
        <f t="shared" si="35"/>
        <v>1.0097455845525398</v>
      </c>
      <c r="AE82" s="14">
        <f t="shared" si="36"/>
        <v>782.41374300695213</v>
      </c>
      <c r="AF82" s="13">
        <f t="shared" si="37"/>
        <v>1.0073196714919088</v>
      </c>
      <c r="AG82" s="14">
        <f t="shared" si="38"/>
        <v>786.65364553854283</v>
      </c>
      <c r="AI82" s="13">
        <f t="shared" si="39"/>
        <v>1.0569278835316158</v>
      </c>
      <c r="AJ82" s="14">
        <f t="shared" si="40"/>
        <v>760.91147312639691</v>
      </c>
      <c r="AK82" s="13">
        <f t="shared" si="41"/>
        <v>1.0569278835316158</v>
      </c>
      <c r="AL82" s="14">
        <f t="shared" si="42"/>
        <v>761.24337321358621</v>
      </c>
      <c r="AM82" s="13">
        <f t="shared" si="43"/>
        <v>1.0569278835316158</v>
      </c>
      <c r="AN82" s="14">
        <f t="shared" si="44"/>
        <v>761.24337321358621</v>
      </c>
    </row>
    <row r="83" spans="1:40" x14ac:dyDescent="0.25">
      <c r="A83" s="51" t="s">
        <v>112</v>
      </c>
      <c r="B83" s="37">
        <f t="shared" ref="B83:J83" si="64">(B80/$W$45%)</f>
        <v>6.5470200464506939E-2</v>
      </c>
      <c r="C83" s="38">
        <f t="shared" si="64"/>
        <v>6.5422731295335143E-2</v>
      </c>
      <c r="D83" s="38">
        <f t="shared" si="64"/>
        <v>6.5399316767676616E-2</v>
      </c>
      <c r="E83" s="37">
        <f t="shared" si="64"/>
        <v>6.547342572282111E-2</v>
      </c>
      <c r="F83" s="38">
        <f t="shared" si="64"/>
        <v>6.5444009173699108E-2</v>
      </c>
      <c r="G83" s="39">
        <f t="shared" si="64"/>
        <v>6.5410861738600862E-2</v>
      </c>
      <c r="H83" s="38">
        <f t="shared" si="64"/>
        <v>6.5480743671811226E-2</v>
      </c>
      <c r="I83" s="38">
        <f t="shared" si="64"/>
        <v>6.5451455043775378E-2</v>
      </c>
      <c r="J83" s="39">
        <f t="shared" si="64"/>
        <v>6.5418376851930957E-2</v>
      </c>
      <c r="L83" s="102">
        <f>(L80/W45%)</f>
        <v>6.5525126213599336E-2</v>
      </c>
      <c r="M83" s="103"/>
      <c r="N83" s="104"/>
      <c r="P83" s="13">
        <f t="shared" si="22"/>
        <v>1.0128046819111443</v>
      </c>
      <c r="Q83" s="5">
        <f t="shared" si="23"/>
        <v>756.76149574547901</v>
      </c>
      <c r="R83" s="13">
        <f t="shared" si="24"/>
        <v>1.0093411251331053</v>
      </c>
      <c r="S83" s="14">
        <f t="shared" si="25"/>
        <v>762.73940443000834</v>
      </c>
      <c r="T83" s="5">
        <f t="shared" si="26"/>
        <v>1.0076055091849014</v>
      </c>
      <c r="U83" s="5">
        <f t="shared" si="27"/>
        <v>765.81372226304541</v>
      </c>
      <c r="V83" s="13">
        <f t="shared" si="28"/>
        <v>1.0130367762778654</v>
      </c>
      <c r="W83" s="14">
        <f t="shared" si="29"/>
        <v>762.00984347825283</v>
      </c>
      <c r="X83" s="13">
        <f t="shared" si="30"/>
        <v>1.0109056174767643</v>
      </c>
      <c r="Y83" s="14">
        <f t="shared" si="31"/>
        <v>766.13707799849226</v>
      </c>
      <c r="Z83" s="13">
        <f t="shared" si="32"/>
        <v>1.0084652673783354</v>
      </c>
      <c r="AA83" s="14">
        <f t="shared" si="46"/>
        <v>770.4197011356116</v>
      </c>
      <c r="AB83" s="5">
        <f t="shared" si="33"/>
        <v>1.0118594490439843</v>
      </c>
      <c r="AC83" s="14">
        <f t="shared" si="34"/>
        <v>778.54475591461267</v>
      </c>
      <c r="AD83" s="13">
        <f t="shared" si="35"/>
        <v>1.0097455845525398</v>
      </c>
      <c r="AE83" s="14">
        <f t="shared" si="36"/>
        <v>782.41374300695213</v>
      </c>
      <c r="AF83" s="13">
        <f t="shared" si="37"/>
        <v>1.0073196714919088</v>
      </c>
      <c r="AG83" s="14">
        <f t="shared" si="38"/>
        <v>786.65364553854283</v>
      </c>
      <c r="AI83" s="13">
        <f t="shared" si="39"/>
        <v>1.0569278835316158</v>
      </c>
      <c r="AJ83" s="14">
        <f t="shared" si="40"/>
        <v>760.91147312639691</v>
      </c>
      <c r="AK83" s="13">
        <f t="shared" si="41"/>
        <v>1.0569278835316158</v>
      </c>
      <c r="AL83" s="14">
        <f t="shared" si="42"/>
        <v>761.24337321358621</v>
      </c>
      <c r="AM83" s="13">
        <f t="shared" si="43"/>
        <v>1.0569278835316158</v>
      </c>
      <c r="AN83" s="14">
        <f t="shared" si="44"/>
        <v>761.24337321358621</v>
      </c>
    </row>
    <row r="84" spans="1:40" ht="15.75" thickBot="1" x14ac:dyDescent="0.3">
      <c r="A84" s="53" t="s">
        <v>113</v>
      </c>
      <c r="B84" s="24">
        <f>SUM(B82:B83)</f>
        <v>8.1530278041511419</v>
      </c>
      <c r="C84" s="25">
        <f t="shared" ref="C84:J84" si="65">SUM(C82:C83)</f>
        <v>8.1529803349819705</v>
      </c>
      <c r="D84" s="25">
        <f t="shared" si="65"/>
        <v>8.1529569204543115</v>
      </c>
      <c r="E84" s="24">
        <f t="shared" si="65"/>
        <v>8.1530310294094566</v>
      </c>
      <c r="F84" s="25">
        <f t="shared" si="65"/>
        <v>8.1530016128603346</v>
      </c>
      <c r="G84" s="26">
        <f t="shared" si="65"/>
        <v>8.1529684654252357</v>
      </c>
      <c r="H84" s="25">
        <f t="shared" si="65"/>
        <v>8.1530383473584465</v>
      </c>
      <c r="I84" s="25">
        <f t="shared" si="65"/>
        <v>8.1530090587304098</v>
      </c>
      <c r="J84" s="26">
        <f t="shared" si="65"/>
        <v>8.1529759805385655</v>
      </c>
      <c r="L84" s="99">
        <f>SUM(L82:L83)</f>
        <v>8.153082729900234</v>
      </c>
      <c r="M84" s="100"/>
      <c r="N84" s="101"/>
      <c r="P84" s="13">
        <f t="shared" si="22"/>
        <v>1.0128046819111443</v>
      </c>
      <c r="Q84" s="5">
        <f t="shared" si="23"/>
        <v>756.76149574547901</v>
      </c>
      <c r="R84" s="13">
        <f t="shared" si="24"/>
        <v>1.0093411251331053</v>
      </c>
      <c r="S84" s="14">
        <f t="shared" si="25"/>
        <v>762.73940443000834</v>
      </c>
      <c r="T84" s="5">
        <f t="shared" si="26"/>
        <v>1.0076055091849014</v>
      </c>
      <c r="U84" s="5">
        <f t="shared" si="27"/>
        <v>765.81372226304541</v>
      </c>
      <c r="V84" s="13">
        <f t="shared" si="28"/>
        <v>1.0130367762778654</v>
      </c>
      <c r="W84" s="14">
        <f t="shared" si="29"/>
        <v>762.00984347825283</v>
      </c>
      <c r="X84" s="13">
        <f t="shared" si="30"/>
        <v>1.0109056174767643</v>
      </c>
      <c r="Y84" s="14">
        <f t="shared" si="31"/>
        <v>766.13707799849226</v>
      </c>
      <c r="Z84" s="13">
        <f t="shared" si="32"/>
        <v>1.0084652673783354</v>
      </c>
      <c r="AA84" s="14">
        <f t="shared" si="46"/>
        <v>770.4197011356116</v>
      </c>
      <c r="AB84" s="5">
        <f t="shared" si="33"/>
        <v>1.0118594490439843</v>
      </c>
      <c r="AC84" s="14">
        <f t="shared" si="34"/>
        <v>778.54475591461267</v>
      </c>
      <c r="AD84" s="13">
        <f t="shared" si="35"/>
        <v>1.0097455845525398</v>
      </c>
      <c r="AE84" s="14">
        <f t="shared" si="36"/>
        <v>782.41374300695213</v>
      </c>
      <c r="AF84" s="13">
        <f t="shared" si="37"/>
        <v>1.0073196714919088</v>
      </c>
      <c r="AG84" s="14">
        <f t="shared" si="38"/>
        <v>786.65364553854283</v>
      </c>
      <c r="AI84" s="13">
        <f t="shared" si="39"/>
        <v>1.0569278835316158</v>
      </c>
      <c r="AJ84" s="14">
        <f t="shared" si="40"/>
        <v>760.91147312639691</v>
      </c>
      <c r="AK84" s="13">
        <f t="shared" si="41"/>
        <v>1.0569278835316158</v>
      </c>
      <c r="AL84" s="14">
        <f t="shared" si="42"/>
        <v>761.24337321358621</v>
      </c>
      <c r="AM84" s="13">
        <f t="shared" si="43"/>
        <v>1.0569278835316158</v>
      </c>
      <c r="AN84" s="14">
        <f t="shared" si="44"/>
        <v>761.24337321358621</v>
      </c>
    </row>
    <row r="85" spans="1:40" ht="15.75" thickBot="1" x14ac:dyDescent="0.3">
      <c r="P85" s="13">
        <f t="shared" si="22"/>
        <v>1.0128046819111443</v>
      </c>
      <c r="Q85" s="5">
        <f t="shared" si="23"/>
        <v>756.76149574547901</v>
      </c>
      <c r="R85" s="13">
        <f t="shared" si="24"/>
        <v>1.0093411251331053</v>
      </c>
      <c r="S85" s="14">
        <f t="shared" si="25"/>
        <v>762.73940443000834</v>
      </c>
      <c r="T85" s="5">
        <f t="shared" si="26"/>
        <v>1.0076055091849014</v>
      </c>
      <c r="U85" s="5">
        <f t="shared" si="27"/>
        <v>765.81372226304541</v>
      </c>
      <c r="V85" s="13">
        <f t="shared" si="28"/>
        <v>1.0130367762778654</v>
      </c>
      <c r="W85" s="14">
        <f t="shared" si="29"/>
        <v>762.00984347825283</v>
      </c>
      <c r="X85" s="13">
        <f t="shared" si="30"/>
        <v>1.0109056174767643</v>
      </c>
      <c r="Y85" s="14">
        <f t="shared" si="31"/>
        <v>766.13707799849226</v>
      </c>
      <c r="Z85" s="13">
        <f t="shared" si="32"/>
        <v>1.0084652673783354</v>
      </c>
      <c r="AA85" s="14">
        <f t="shared" si="46"/>
        <v>770.4197011356116</v>
      </c>
      <c r="AB85" s="5">
        <f t="shared" si="33"/>
        <v>1.0118594490439843</v>
      </c>
      <c r="AC85" s="14">
        <f t="shared" si="34"/>
        <v>778.54475591461267</v>
      </c>
      <c r="AD85" s="13">
        <f t="shared" si="35"/>
        <v>1.0097455845525398</v>
      </c>
      <c r="AE85" s="14">
        <f t="shared" si="36"/>
        <v>782.41374300695213</v>
      </c>
      <c r="AF85" s="13">
        <f t="shared" si="37"/>
        <v>1.0073196714919088</v>
      </c>
      <c r="AG85" s="14">
        <f t="shared" si="38"/>
        <v>786.65364553854283</v>
      </c>
      <c r="AI85" s="13">
        <f t="shared" si="39"/>
        <v>1.0569278835316158</v>
      </c>
      <c r="AJ85" s="14">
        <f t="shared" si="40"/>
        <v>760.91147312639691</v>
      </c>
      <c r="AK85" s="13">
        <f t="shared" si="41"/>
        <v>1.0569278835316158</v>
      </c>
      <c r="AL85" s="14">
        <f t="shared" si="42"/>
        <v>761.24337321358621</v>
      </c>
      <c r="AM85" s="13">
        <f t="shared" si="43"/>
        <v>1.0569278835316158</v>
      </c>
      <c r="AN85" s="14">
        <f t="shared" si="44"/>
        <v>761.24337321358621</v>
      </c>
    </row>
    <row r="86" spans="1:40" ht="15.75" thickBot="1" x14ac:dyDescent="0.3">
      <c r="A86" s="54" t="s">
        <v>114</v>
      </c>
      <c r="B86" s="75">
        <f>(2942*R3)/1000</f>
        <v>1529.84</v>
      </c>
      <c r="C86" s="77"/>
      <c r="D86" s="77"/>
      <c r="E86" s="77"/>
      <c r="F86" s="77"/>
      <c r="G86" s="77"/>
      <c r="H86" s="77"/>
      <c r="I86" s="77"/>
      <c r="J86" s="79"/>
      <c r="L86" s="75">
        <f>(2942*R3)/1000</f>
        <v>1529.84</v>
      </c>
      <c r="M86" s="77"/>
      <c r="N86" s="79"/>
      <c r="P86" s="13">
        <f t="shared" si="22"/>
        <v>1.0128046819111443</v>
      </c>
      <c r="Q86" s="5">
        <f t="shared" si="23"/>
        <v>756.76149574547901</v>
      </c>
      <c r="R86" s="13">
        <f t="shared" si="24"/>
        <v>1.0093411251331053</v>
      </c>
      <c r="S86" s="14">
        <f t="shared" si="25"/>
        <v>762.73940443000834</v>
      </c>
      <c r="T86" s="5">
        <f t="shared" si="26"/>
        <v>1.0076055091849014</v>
      </c>
      <c r="U86" s="5">
        <f t="shared" si="27"/>
        <v>765.81372226304541</v>
      </c>
      <c r="V86" s="13">
        <f t="shared" si="28"/>
        <v>1.0130367762778654</v>
      </c>
      <c r="W86" s="14">
        <f t="shared" si="29"/>
        <v>762.00984347825283</v>
      </c>
      <c r="X86" s="13">
        <f t="shared" si="30"/>
        <v>1.0109056174767643</v>
      </c>
      <c r="Y86" s="14">
        <f t="shared" si="31"/>
        <v>766.13707799849226</v>
      </c>
      <c r="Z86" s="13">
        <f t="shared" si="32"/>
        <v>1.0084652673783354</v>
      </c>
      <c r="AA86" s="14">
        <f t="shared" si="46"/>
        <v>770.4197011356116</v>
      </c>
      <c r="AB86" s="5">
        <f t="shared" si="33"/>
        <v>1.0118594490439843</v>
      </c>
      <c r="AC86" s="14">
        <f t="shared" si="34"/>
        <v>778.54475591461267</v>
      </c>
      <c r="AD86" s="13">
        <f t="shared" si="35"/>
        <v>1.0097455845525398</v>
      </c>
      <c r="AE86" s="14">
        <f t="shared" si="36"/>
        <v>782.41374300695213</v>
      </c>
      <c r="AF86" s="13">
        <f t="shared" si="37"/>
        <v>1.0073196714919088</v>
      </c>
      <c r="AG86" s="14">
        <f t="shared" si="38"/>
        <v>786.65364553854283</v>
      </c>
      <c r="AI86" s="13">
        <f t="shared" si="39"/>
        <v>1.0569278835316158</v>
      </c>
      <c r="AJ86" s="14">
        <f t="shared" si="40"/>
        <v>760.91147312639691</v>
      </c>
      <c r="AK86" s="13">
        <f t="shared" si="41"/>
        <v>1.0569278835316158</v>
      </c>
      <c r="AL86" s="14">
        <f t="shared" si="42"/>
        <v>761.24337321358621</v>
      </c>
      <c r="AM86" s="13">
        <f t="shared" si="43"/>
        <v>1.0569278835316158</v>
      </c>
      <c r="AN86" s="14">
        <f t="shared" si="44"/>
        <v>761.24337321358621</v>
      </c>
    </row>
    <row r="87" spans="1:40" x14ac:dyDescent="0.25">
      <c r="A87" s="50" t="s">
        <v>115</v>
      </c>
      <c r="B87" s="22">
        <f>($P$16*(10.4*S14^0.24))</f>
        <v>65.493646634483909</v>
      </c>
      <c r="C87" s="11">
        <f>($P$16*(10.4*V14^0.24))</f>
        <v>65.991214746706206</v>
      </c>
      <c r="D87" s="11">
        <f>($P$16*(10.4*Y14^0.24))</f>
        <v>66.238168331289501</v>
      </c>
      <c r="E87" s="22">
        <f>($P$16*(10.4*T14^0.24))</f>
        <v>65.459989193195128</v>
      </c>
      <c r="F87" s="11">
        <f>($P$16*(10.4*W14^0.24))</f>
        <v>65.767671299552774</v>
      </c>
      <c r="G87" s="12">
        <f>($P$16*(10.4*Z14^0.24))</f>
        <v>66.116276915553001</v>
      </c>
      <c r="H87" s="22">
        <f>($P$16*(10.4*U14^0.24))</f>
        <v>65.383692421878763</v>
      </c>
      <c r="I87" s="11">
        <f>($P$16*(10.4*X14^0.24))</f>
        <v>65.689641774647583</v>
      </c>
      <c r="J87" s="12">
        <f>($P$16*(10.4*AA14^0.24))</f>
        <v>66.03706468850099</v>
      </c>
      <c r="L87" s="105">
        <f>($R$8*(10.4*Q8^0.24))</f>
        <v>64.923043673602592</v>
      </c>
      <c r="M87" s="106"/>
      <c r="N87" s="107"/>
      <c r="P87" s="13">
        <f t="shared" si="22"/>
        <v>1.0128046819111443</v>
      </c>
      <c r="Q87" s="5">
        <f t="shared" si="23"/>
        <v>756.76149574547901</v>
      </c>
      <c r="R87" s="13">
        <f t="shared" si="24"/>
        <v>1.0093411251331053</v>
      </c>
      <c r="S87" s="14">
        <f t="shared" si="25"/>
        <v>762.73940443000834</v>
      </c>
      <c r="T87" s="5">
        <f t="shared" si="26"/>
        <v>1.0076055091849014</v>
      </c>
      <c r="U87" s="5">
        <f t="shared" si="27"/>
        <v>765.81372226304541</v>
      </c>
      <c r="V87" s="13">
        <f t="shared" si="28"/>
        <v>1.0130367762778654</v>
      </c>
      <c r="W87" s="14">
        <f t="shared" si="29"/>
        <v>762.00984347825283</v>
      </c>
      <c r="X87" s="13">
        <f t="shared" si="30"/>
        <v>1.0109056174767643</v>
      </c>
      <c r="Y87" s="14">
        <f t="shared" si="31"/>
        <v>766.13707799849226</v>
      </c>
      <c r="Z87" s="13">
        <f t="shared" si="32"/>
        <v>1.0084652673783354</v>
      </c>
      <c r="AA87" s="14">
        <f t="shared" si="46"/>
        <v>770.4197011356116</v>
      </c>
      <c r="AB87" s="5">
        <f t="shared" si="33"/>
        <v>1.0118594490439843</v>
      </c>
      <c r="AC87" s="14">
        <f t="shared" si="34"/>
        <v>778.54475591461267</v>
      </c>
      <c r="AD87" s="13">
        <f t="shared" si="35"/>
        <v>1.0097455845525398</v>
      </c>
      <c r="AE87" s="14">
        <f t="shared" si="36"/>
        <v>782.41374300695213</v>
      </c>
      <c r="AF87" s="13">
        <f t="shared" si="37"/>
        <v>1.0073196714919088</v>
      </c>
      <c r="AG87" s="14">
        <f t="shared" si="38"/>
        <v>786.65364553854283</v>
      </c>
      <c r="AI87" s="13">
        <f t="shared" si="39"/>
        <v>1.0569278835316158</v>
      </c>
      <c r="AJ87" s="14">
        <f t="shared" si="40"/>
        <v>760.91147312639691</v>
      </c>
      <c r="AK87" s="13">
        <f t="shared" si="41"/>
        <v>1.0569278835316158</v>
      </c>
      <c r="AL87" s="14">
        <f t="shared" si="42"/>
        <v>761.24337321358621</v>
      </c>
      <c r="AM87" s="13">
        <f t="shared" si="43"/>
        <v>1.0569278835316158</v>
      </c>
      <c r="AN87" s="14">
        <f t="shared" si="44"/>
        <v>761.24337321358621</v>
      </c>
    </row>
    <row r="88" spans="1:40" ht="15.6" customHeight="1" x14ac:dyDescent="0.25">
      <c r="A88" s="50" t="s">
        <v>116</v>
      </c>
      <c r="B88" s="13">
        <f>($B$86+B87)</f>
        <v>1595.3336466344838</v>
      </c>
      <c r="C88" s="5">
        <f t="shared" ref="C88:J88" si="66">($B$86+C87)</f>
        <v>1595.8312147467061</v>
      </c>
      <c r="D88" s="5">
        <f t="shared" si="66"/>
        <v>1596.0781683312894</v>
      </c>
      <c r="E88" s="13">
        <f t="shared" si="66"/>
        <v>1595.299989193195</v>
      </c>
      <c r="F88" s="5">
        <f t="shared" si="66"/>
        <v>1595.6076712995527</v>
      </c>
      <c r="G88" s="14">
        <f t="shared" si="66"/>
        <v>1595.956276915553</v>
      </c>
      <c r="H88" s="13">
        <f t="shared" si="66"/>
        <v>1595.2236924218787</v>
      </c>
      <c r="I88" s="5">
        <f t="shared" si="66"/>
        <v>1595.5296417746474</v>
      </c>
      <c r="J88" s="14">
        <f t="shared" si="66"/>
        <v>1595.8770646885009</v>
      </c>
      <c r="L88" s="105">
        <f>(L86+L87)</f>
        <v>1594.7630436736026</v>
      </c>
      <c r="M88" s="106"/>
      <c r="N88" s="107"/>
      <c r="P88" s="13">
        <f t="shared" si="22"/>
        <v>1.0128046819111443</v>
      </c>
      <c r="Q88" s="5">
        <f t="shared" si="23"/>
        <v>756.76149574547901</v>
      </c>
      <c r="R88" s="13">
        <f t="shared" si="24"/>
        <v>1.0093411251331053</v>
      </c>
      <c r="S88" s="14">
        <f t="shared" si="25"/>
        <v>762.73940443000834</v>
      </c>
      <c r="T88" s="5">
        <f t="shared" si="26"/>
        <v>1.0076055091849014</v>
      </c>
      <c r="U88" s="5">
        <f t="shared" si="27"/>
        <v>765.81372226304541</v>
      </c>
      <c r="V88" s="13">
        <f t="shared" si="28"/>
        <v>1.0130367762778654</v>
      </c>
      <c r="W88" s="14">
        <f t="shared" si="29"/>
        <v>762.00984347825283</v>
      </c>
      <c r="X88" s="13">
        <f t="shared" si="30"/>
        <v>1.0109056174767643</v>
      </c>
      <c r="Y88" s="14">
        <f t="shared" si="31"/>
        <v>766.13707799849226</v>
      </c>
      <c r="Z88" s="13">
        <f t="shared" si="32"/>
        <v>1.0084652673783354</v>
      </c>
      <c r="AA88" s="14">
        <f t="shared" si="46"/>
        <v>770.4197011356116</v>
      </c>
      <c r="AB88" s="5">
        <f t="shared" si="33"/>
        <v>1.0118594490439843</v>
      </c>
      <c r="AC88" s="14">
        <f t="shared" si="34"/>
        <v>778.54475591461267</v>
      </c>
      <c r="AD88" s="13">
        <f t="shared" si="35"/>
        <v>1.0097455845525398</v>
      </c>
      <c r="AE88" s="14">
        <f t="shared" si="36"/>
        <v>782.41374300695213</v>
      </c>
      <c r="AF88" s="13">
        <f t="shared" si="37"/>
        <v>1.0073196714919088</v>
      </c>
      <c r="AG88" s="14">
        <f t="shared" si="38"/>
        <v>786.65364553854283</v>
      </c>
      <c r="AI88" s="13">
        <f t="shared" si="39"/>
        <v>1.0569278835316158</v>
      </c>
      <c r="AJ88" s="14">
        <f t="shared" si="40"/>
        <v>760.91147312639691</v>
      </c>
      <c r="AK88" s="13">
        <f t="shared" si="41"/>
        <v>1.0569278835316158</v>
      </c>
      <c r="AL88" s="14">
        <f t="shared" si="42"/>
        <v>761.24337321358621</v>
      </c>
      <c r="AM88" s="13">
        <f t="shared" si="43"/>
        <v>1.0569278835316158</v>
      </c>
      <c r="AN88" s="14">
        <f t="shared" si="44"/>
        <v>761.24337321358621</v>
      </c>
    </row>
    <row r="89" spans="1:40" ht="15.6" customHeight="1" x14ac:dyDescent="0.25">
      <c r="A89" s="51" t="s">
        <v>117</v>
      </c>
      <c r="B89" s="28">
        <f t="shared" ref="B89:J89" si="67">($B$86/$X$45%)</f>
        <v>2084.2506811989097</v>
      </c>
      <c r="C89" s="29">
        <f t="shared" si="67"/>
        <v>2084.2506811989097</v>
      </c>
      <c r="D89" s="29">
        <f t="shared" si="67"/>
        <v>2084.2506811989097</v>
      </c>
      <c r="E89" s="28">
        <f t="shared" si="67"/>
        <v>2084.2506811989097</v>
      </c>
      <c r="F89" s="29">
        <f t="shared" si="67"/>
        <v>2084.2506811989097</v>
      </c>
      <c r="G89" s="30">
        <f t="shared" si="67"/>
        <v>2084.2506811989097</v>
      </c>
      <c r="H89" s="28">
        <f t="shared" si="67"/>
        <v>2084.2506811989097</v>
      </c>
      <c r="I89" s="29">
        <f t="shared" si="67"/>
        <v>2084.2506811989097</v>
      </c>
      <c r="J89" s="30">
        <f t="shared" si="67"/>
        <v>2084.2506811989097</v>
      </c>
      <c r="L89" s="102">
        <f>(L86/X45%)</f>
        <v>2084.2506811989097</v>
      </c>
      <c r="M89" s="103"/>
      <c r="N89" s="104"/>
      <c r="P89" s="13">
        <f t="shared" si="22"/>
        <v>1.0128046819111443</v>
      </c>
      <c r="Q89" s="5">
        <f t="shared" si="23"/>
        <v>756.76149574547901</v>
      </c>
      <c r="R89" s="13">
        <f t="shared" si="24"/>
        <v>1.0093411251331053</v>
      </c>
      <c r="S89" s="14">
        <f t="shared" si="25"/>
        <v>762.73940443000834</v>
      </c>
      <c r="T89" s="5">
        <f t="shared" si="26"/>
        <v>1.0076055091849014</v>
      </c>
      <c r="U89" s="5">
        <f t="shared" si="27"/>
        <v>765.81372226304541</v>
      </c>
      <c r="V89" s="13">
        <f t="shared" si="28"/>
        <v>1.0130367762778654</v>
      </c>
      <c r="W89" s="14">
        <f t="shared" si="29"/>
        <v>762.00984347825283</v>
      </c>
      <c r="X89" s="13">
        <f t="shared" si="30"/>
        <v>1.0109056174767643</v>
      </c>
      <c r="Y89" s="14">
        <f t="shared" si="31"/>
        <v>766.13707799849226</v>
      </c>
      <c r="Z89" s="13">
        <f t="shared" si="32"/>
        <v>1.0084652673783354</v>
      </c>
      <c r="AA89" s="14">
        <f t="shared" si="46"/>
        <v>770.4197011356116</v>
      </c>
      <c r="AB89" s="5">
        <f t="shared" si="33"/>
        <v>1.0118594490439843</v>
      </c>
      <c r="AC89" s="14">
        <f t="shared" si="34"/>
        <v>778.54475591461267</v>
      </c>
      <c r="AD89" s="13">
        <f t="shared" si="35"/>
        <v>1.0097455845525398</v>
      </c>
      <c r="AE89" s="14">
        <f t="shared" si="36"/>
        <v>782.41374300695213</v>
      </c>
      <c r="AF89" s="13">
        <f t="shared" si="37"/>
        <v>1.0073196714919088</v>
      </c>
      <c r="AG89" s="14">
        <f t="shared" si="38"/>
        <v>786.65364553854283</v>
      </c>
      <c r="AI89" s="13">
        <f t="shared" si="39"/>
        <v>1.0569278835316158</v>
      </c>
      <c r="AJ89" s="14">
        <f t="shared" si="40"/>
        <v>760.91147312639691</v>
      </c>
      <c r="AK89" s="13">
        <f t="shared" si="41"/>
        <v>1.0569278835316158</v>
      </c>
      <c r="AL89" s="14">
        <f t="shared" si="42"/>
        <v>761.24337321358621</v>
      </c>
      <c r="AM89" s="13">
        <f t="shared" si="43"/>
        <v>1.0569278835316158</v>
      </c>
      <c r="AN89" s="14">
        <f t="shared" si="44"/>
        <v>761.24337321358621</v>
      </c>
    </row>
    <row r="90" spans="1:40" x14ac:dyDescent="0.25">
      <c r="A90" s="51" t="s">
        <v>118</v>
      </c>
      <c r="B90" s="28">
        <f t="shared" ref="B90:J90" si="68">(B87/$X$45%)</f>
        <v>89.228401409378606</v>
      </c>
      <c r="C90" s="29">
        <f t="shared" si="68"/>
        <v>89.906287120853136</v>
      </c>
      <c r="D90" s="29">
        <f t="shared" si="68"/>
        <v>90.242736146170969</v>
      </c>
      <c r="E90" s="28">
        <f t="shared" si="68"/>
        <v>89.182546584734496</v>
      </c>
      <c r="F90" s="29">
        <f t="shared" si="68"/>
        <v>89.601732015739458</v>
      </c>
      <c r="G90" s="29">
        <f t="shared" si="68"/>
        <v>90.076671547074923</v>
      </c>
      <c r="H90" s="28">
        <f t="shared" si="68"/>
        <v>89.078600029807561</v>
      </c>
      <c r="I90" s="29">
        <f t="shared" si="68"/>
        <v>89.495424761100239</v>
      </c>
      <c r="J90" s="30">
        <f t="shared" si="68"/>
        <v>89.968752981608972</v>
      </c>
      <c r="L90" s="102">
        <f>(L87/X45%)</f>
        <v>88.451013179295074</v>
      </c>
      <c r="M90" s="103"/>
      <c r="N90" s="104"/>
      <c r="P90" s="13">
        <f t="shared" si="22"/>
        <v>1.0128046819111443</v>
      </c>
      <c r="Q90" s="5">
        <f t="shared" si="23"/>
        <v>756.76149574547901</v>
      </c>
      <c r="R90" s="13">
        <f t="shared" si="24"/>
        <v>1.0093411251331053</v>
      </c>
      <c r="S90" s="14">
        <f t="shared" si="25"/>
        <v>762.73940443000834</v>
      </c>
      <c r="T90" s="5">
        <f t="shared" si="26"/>
        <v>1.0076055091849014</v>
      </c>
      <c r="U90" s="5">
        <f t="shared" si="27"/>
        <v>765.81372226304541</v>
      </c>
      <c r="V90" s="13">
        <f t="shared" si="28"/>
        <v>1.0130367762778654</v>
      </c>
      <c r="W90" s="14">
        <f t="shared" si="29"/>
        <v>762.00984347825283</v>
      </c>
      <c r="X90" s="13">
        <f t="shared" si="30"/>
        <v>1.0109056174767643</v>
      </c>
      <c r="Y90" s="14">
        <f t="shared" si="31"/>
        <v>766.13707799849226</v>
      </c>
      <c r="Z90" s="13">
        <f t="shared" si="32"/>
        <v>1.0084652673783354</v>
      </c>
      <c r="AA90" s="14">
        <f t="shared" si="46"/>
        <v>770.4197011356116</v>
      </c>
      <c r="AB90" s="5">
        <f t="shared" si="33"/>
        <v>1.0118594490439843</v>
      </c>
      <c r="AC90" s="14">
        <f t="shared" si="34"/>
        <v>778.54475591461267</v>
      </c>
      <c r="AD90" s="13">
        <f t="shared" si="35"/>
        <v>1.0097455845525398</v>
      </c>
      <c r="AE90" s="14">
        <f t="shared" si="36"/>
        <v>782.41374300695213</v>
      </c>
      <c r="AF90" s="13">
        <f t="shared" si="37"/>
        <v>1.0073196714919088</v>
      </c>
      <c r="AG90" s="14">
        <f t="shared" si="38"/>
        <v>786.65364553854283</v>
      </c>
      <c r="AI90" s="13">
        <f t="shared" si="39"/>
        <v>1.0569278835316158</v>
      </c>
      <c r="AJ90" s="14">
        <f t="shared" si="40"/>
        <v>760.91147312639691</v>
      </c>
      <c r="AK90" s="13">
        <f t="shared" si="41"/>
        <v>1.0569278835316158</v>
      </c>
      <c r="AL90" s="14">
        <f t="shared" si="42"/>
        <v>761.24337321358621</v>
      </c>
      <c r="AM90" s="13">
        <f t="shared" si="43"/>
        <v>1.0569278835316158</v>
      </c>
      <c r="AN90" s="14">
        <f t="shared" si="44"/>
        <v>761.24337321358621</v>
      </c>
    </row>
    <row r="91" spans="1:40" ht="15.75" thickBot="1" x14ac:dyDescent="0.3">
      <c r="A91" s="53" t="s">
        <v>119</v>
      </c>
      <c r="B91" s="24">
        <f>SUM(B89:B90)</f>
        <v>2173.4790826082881</v>
      </c>
      <c r="C91" s="25">
        <f t="shared" ref="C91:J91" si="69">SUM(C89:C90)</f>
        <v>2174.1569683197627</v>
      </c>
      <c r="D91" s="25">
        <f t="shared" si="69"/>
        <v>2174.4934173450806</v>
      </c>
      <c r="E91" s="24">
        <f t="shared" si="69"/>
        <v>2173.4332277836443</v>
      </c>
      <c r="F91" s="25">
        <f t="shared" si="69"/>
        <v>2173.852413214649</v>
      </c>
      <c r="G91" s="26">
        <f t="shared" si="69"/>
        <v>2174.3273527459846</v>
      </c>
      <c r="H91" s="24">
        <f t="shared" si="69"/>
        <v>2173.3292812287173</v>
      </c>
      <c r="I91" s="25">
        <f t="shared" si="69"/>
        <v>2173.74610596001</v>
      </c>
      <c r="J91" s="26">
        <f t="shared" si="69"/>
        <v>2174.2194341805184</v>
      </c>
      <c r="L91" s="99">
        <f>SUM(L89:L90)</f>
        <v>2172.7016943782046</v>
      </c>
      <c r="M91" s="100"/>
      <c r="N91" s="101"/>
      <c r="P91" s="13">
        <f t="shared" si="22"/>
        <v>1.0128046819111443</v>
      </c>
      <c r="Q91" s="5">
        <f t="shared" si="23"/>
        <v>756.76149574547901</v>
      </c>
      <c r="R91" s="13">
        <f t="shared" si="24"/>
        <v>1.0093411251331053</v>
      </c>
      <c r="S91" s="14">
        <f t="shared" si="25"/>
        <v>762.73940443000834</v>
      </c>
      <c r="T91" s="5">
        <f t="shared" si="26"/>
        <v>1.0076055091849014</v>
      </c>
      <c r="U91" s="5">
        <f t="shared" si="27"/>
        <v>765.81372226304541</v>
      </c>
      <c r="V91" s="13">
        <f t="shared" si="28"/>
        <v>1.0130367762778654</v>
      </c>
      <c r="W91" s="14">
        <f t="shared" si="29"/>
        <v>762.00984347825283</v>
      </c>
      <c r="X91" s="13">
        <f t="shared" si="30"/>
        <v>1.0109056174767643</v>
      </c>
      <c r="Y91" s="14">
        <f t="shared" si="31"/>
        <v>766.13707799849226</v>
      </c>
      <c r="Z91" s="13">
        <f t="shared" si="32"/>
        <v>1.0084652673783354</v>
      </c>
      <c r="AA91" s="14">
        <f t="shared" si="46"/>
        <v>770.4197011356116</v>
      </c>
      <c r="AB91" s="5">
        <f t="shared" si="33"/>
        <v>1.0118594490439843</v>
      </c>
      <c r="AC91" s="14">
        <f t="shared" si="34"/>
        <v>778.54475591461267</v>
      </c>
      <c r="AD91" s="13">
        <f t="shared" si="35"/>
        <v>1.0097455845525398</v>
      </c>
      <c r="AE91" s="14">
        <f t="shared" si="36"/>
        <v>782.41374300695213</v>
      </c>
      <c r="AF91" s="13">
        <f t="shared" si="37"/>
        <v>1.0073196714919088</v>
      </c>
      <c r="AG91" s="14">
        <f t="shared" si="38"/>
        <v>786.65364553854283</v>
      </c>
      <c r="AI91" s="13">
        <f t="shared" si="39"/>
        <v>1.0569278835316158</v>
      </c>
      <c r="AJ91" s="14">
        <f t="shared" si="40"/>
        <v>760.91147312639691</v>
      </c>
      <c r="AK91" s="13">
        <f t="shared" si="41"/>
        <v>1.0569278835316158</v>
      </c>
      <c r="AL91" s="14">
        <f t="shared" si="42"/>
        <v>761.24337321358621</v>
      </c>
      <c r="AM91" s="13">
        <f t="shared" si="43"/>
        <v>1.0569278835316158</v>
      </c>
      <c r="AN91" s="14">
        <f t="shared" si="44"/>
        <v>761.24337321358621</v>
      </c>
    </row>
    <row r="92" spans="1:40" ht="15.75" thickBot="1" x14ac:dyDescent="0.3">
      <c r="P92" s="13">
        <f t="shared" si="22"/>
        <v>1.0128046819111443</v>
      </c>
      <c r="Q92" s="5">
        <f t="shared" si="23"/>
        <v>756.76149574547901</v>
      </c>
      <c r="R92" s="13">
        <f t="shared" si="24"/>
        <v>1.0093411251331053</v>
      </c>
      <c r="S92" s="14">
        <f t="shared" si="25"/>
        <v>762.73940443000834</v>
      </c>
      <c r="T92" s="5">
        <f t="shared" si="26"/>
        <v>1.0076055091849014</v>
      </c>
      <c r="U92" s="5">
        <f t="shared" si="27"/>
        <v>765.81372226304541</v>
      </c>
      <c r="V92" s="13">
        <f t="shared" si="28"/>
        <v>1.0130367762778654</v>
      </c>
      <c r="W92" s="14">
        <f t="shared" si="29"/>
        <v>762.00984347825283</v>
      </c>
      <c r="X92" s="13">
        <f t="shared" si="30"/>
        <v>1.0109056174767643</v>
      </c>
      <c r="Y92" s="14">
        <f t="shared" si="31"/>
        <v>766.13707799849226</v>
      </c>
      <c r="Z92" s="13">
        <f t="shared" si="32"/>
        <v>1.0084652673783354</v>
      </c>
      <c r="AA92" s="14">
        <f t="shared" si="46"/>
        <v>770.4197011356116</v>
      </c>
      <c r="AB92" s="5">
        <f t="shared" si="33"/>
        <v>1.0118594490439843</v>
      </c>
      <c r="AC92" s="14">
        <f t="shared" si="34"/>
        <v>778.54475591461267</v>
      </c>
      <c r="AD92" s="13">
        <f t="shared" si="35"/>
        <v>1.0097455845525398</v>
      </c>
      <c r="AE92" s="14">
        <f t="shared" si="36"/>
        <v>782.41374300695213</v>
      </c>
      <c r="AF92" s="13">
        <f t="shared" si="37"/>
        <v>1.0073196714919088</v>
      </c>
      <c r="AG92" s="14">
        <f t="shared" si="38"/>
        <v>786.65364553854283</v>
      </c>
      <c r="AI92" s="13">
        <f t="shared" si="39"/>
        <v>1.0569278835316158</v>
      </c>
      <c r="AJ92" s="14">
        <f t="shared" si="40"/>
        <v>760.91147312639691</v>
      </c>
      <c r="AK92" s="13">
        <f t="shared" si="41"/>
        <v>1.0569278835316158</v>
      </c>
      <c r="AL92" s="14">
        <f t="shared" si="42"/>
        <v>761.24337321358621</v>
      </c>
      <c r="AM92" s="13">
        <f t="shared" si="43"/>
        <v>1.0569278835316158</v>
      </c>
      <c r="AN92" s="14">
        <f t="shared" si="44"/>
        <v>761.24337321358621</v>
      </c>
    </row>
    <row r="93" spans="1:40" ht="15.75" thickBot="1" x14ac:dyDescent="0.3">
      <c r="A93" s="54" t="s">
        <v>120</v>
      </c>
      <c r="B93" s="75">
        <f>(184.9*R3)/1000</f>
        <v>96.147999999999996</v>
      </c>
      <c r="C93" s="77"/>
      <c r="D93" s="77"/>
      <c r="E93" s="77"/>
      <c r="F93" s="77"/>
      <c r="G93" s="77"/>
      <c r="H93" s="77"/>
      <c r="I93" s="77"/>
      <c r="J93" s="79"/>
      <c r="L93" s="75">
        <f>(184.9*R3)/1000</f>
        <v>96.147999999999996</v>
      </c>
      <c r="M93" s="77"/>
      <c r="N93" s="79"/>
      <c r="P93" s="13">
        <f t="shared" si="22"/>
        <v>1.0128046819111443</v>
      </c>
      <c r="Q93" s="5">
        <f t="shared" si="23"/>
        <v>756.76149574547901</v>
      </c>
      <c r="R93" s="13">
        <f t="shared" si="24"/>
        <v>1.0093411251331053</v>
      </c>
      <c r="S93" s="14">
        <f t="shared" si="25"/>
        <v>762.73940443000834</v>
      </c>
      <c r="T93" s="5">
        <f t="shared" si="26"/>
        <v>1.0076055091849014</v>
      </c>
      <c r="U93" s="5">
        <f t="shared" si="27"/>
        <v>765.81372226304541</v>
      </c>
      <c r="V93" s="13">
        <f t="shared" si="28"/>
        <v>1.0130367762778654</v>
      </c>
      <c r="W93" s="14">
        <f t="shared" si="29"/>
        <v>762.00984347825283</v>
      </c>
      <c r="X93" s="13">
        <f t="shared" si="30"/>
        <v>1.0109056174767643</v>
      </c>
      <c r="Y93" s="14">
        <f t="shared" si="31"/>
        <v>766.13707799849226</v>
      </c>
      <c r="Z93" s="13">
        <f t="shared" si="32"/>
        <v>1.0084652673783354</v>
      </c>
      <c r="AA93" s="14">
        <f t="shared" si="46"/>
        <v>770.4197011356116</v>
      </c>
      <c r="AB93" s="5">
        <f t="shared" si="33"/>
        <v>1.0118594490439843</v>
      </c>
      <c r="AC93" s="14">
        <f t="shared" si="34"/>
        <v>778.54475591461267</v>
      </c>
      <c r="AD93" s="13">
        <f t="shared" si="35"/>
        <v>1.0097455845525398</v>
      </c>
      <c r="AE93" s="14">
        <f t="shared" si="36"/>
        <v>782.41374300695213</v>
      </c>
      <c r="AF93" s="13">
        <f t="shared" si="37"/>
        <v>1.0073196714919088</v>
      </c>
      <c r="AG93" s="14">
        <f t="shared" si="38"/>
        <v>786.65364553854283</v>
      </c>
      <c r="AI93" s="13">
        <f t="shared" si="39"/>
        <v>1.0569278835316158</v>
      </c>
      <c r="AJ93" s="14">
        <f t="shared" si="40"/>
        <v>760.91147312639691</v>
      </c>
      <c r="AK93" s="13">
        <f t="shared" si="41"/>
        <v>1.0569278835316158</v>
      </c>
      <c r="AL93" s="14">
        <f t="shared" si="42"/>
        <v>761.24337321358621</v>
      </c>
      <c r="AM93" s="13">
        <f t="shared" si="43"/>
        <v>1.0569278835316158</v>
      </c>
      <c r="AN93" s="14">
        <f t="shared" si="44"/>
        <v>761.24337321358621</v>
      </c>
    </row>
    <row r="94" spans="1:40" x14ac:dyDescent="0.25">
      <c r="A94" s="50" t="s">
        <v>121</v>
      </c>
      <c r="B94" s="22">
        <f>($P$16*(0.07*S14^0.8))</f>
        <v>13.492909065961159</v>
      </c>
      <c r="C94" s="11">
        <f>($P$16*(0.07*V14^0.8))</f>
        <v>13.83764214833672</v>
      </c>
      <c r="D94" s="11">
        <f>($P$16*(0.07*Y14^0.8))</f>
        <v>14.011008640479023</v>
      </c>
      <c r="E94" s="22">
        <f>($P$16*(0.07*T14^0.8))</f>
        <v>13.469809391391006</v>
      </c>
      <c r="F94" s="11">
        <f>($P$16*(0.07*W14^0.8))</f>
        <v>13.682009932717165</v>
      </c>
      <c r="G94" s="12">
        <f>($P$16*(0.07*Z14^0.8))</f>
        <v>13.925249518018841</v>
      </c>
      <c r="H94" s="22">
        <f>($P$16*(0.07*U14^0.8))</f>
        <v>13.417548143645901</v>
      </c>
      <c r="I94" s="11">
        <f>($P$16*(0.07*X14^0.8))</f>
        <v>13.627975088603149</v>
      </c>
      <c r="J94" s="12">
        <f>($P$16*(0.07*AA14^0.8))</f>
        <v>13.869715585645293</v>
      </c>
      <c r="L94" s="105">
        <f>($R$8*(0.07*Q8^0.8))</f>
        <v>13.105027166625655</v>
      </c>
      <c r="M94" s="106"/>
      <c r="N94" s="107"/>
      <c r="P94" s="13">
        <f t="shared" si="22"/>
        <v>1.0128046819111443</v>
      </c>
      <c r="Q94" s="5">
        <f t="shared" si="23"/>
        <v>756.76149574547901</v>
      </c>
      <c r="R94" s="13">
        <f t="shared" si="24"/>
        <v>1.0093411251331053</v>
      </c>
      <c r="S94" s="14">
        <f t="shared" si="25"/>
        <v>762.73940443000834</v>
      </c>
      <c r="T94" s="5">
        <f t="shared" si="26"/>
        <v>1.0076055091849014</v>
      </c>
      <c r="U94" s="5">
        <f t="shared" si="27"/>
        <v>765.81372226304541</v>
      </c>
      <c r="V94" s="13">
        <f t="shared" si="28"/>
        <v>1.0130367762778654</v>
      </c>
      <c r="W94" s="14">
        <f t="shared" si="29"/>
        <v>762.00984347825283</v>
      </c>
      <c r="X94" s="13">
        <f t="shared" si="30"/>
        <v>1.0109056174767643</v>
      </c>
      <c r="Y94" s="14">
        <f t="shared" si="31"/>
        <v>766.13707799849226</v>
      </c>
      <c r="Z94" s="13">
        <f t="shared" si="32"/>
        <v>1.0084652673783354</v>
      </c>
      <c r="AA94" s="14">
        <f t="shared" si="46"/>
        <v>770.4197011356116</v>
      </c>
      <c r="AB94" s="5">
        <f t="shared" si="33"/>
        <v>1.0118594490439843</v>
      </c>
      <c r="AC94" s="14">
        <f t="shared" si="34"/>
        <v>778.54475591461267</v>
      </c>
      <c r="AD94" s="13">
        <f t="shared" si="35"/>
        <v>1.0097455845525398</v>
      </c>
      <c r="AE94" s="14">
        <f t="shared" si="36"/>
        <v>782.41374300695213</v>
      </c>
      <c r="AF94" s="13">
        <f t="shared" si="37"/>
        <v>1.0073196714919088</v>
      </c>
      <c r="AG94" s="14">
        <f t="shared" si="38"/>
        <v>786.65364553854283</v>
      </c>
      <c r="AI94" s="13">
        <f t="shared" si="39"/>
        <v>1.0569278835316158</v>
      </c>
      <c r="AJ94" s="14">
        <f t="shared" si="40"/>
        <v>760.91147312639691</v>
      </c>
      <c r="AK94" s="13">
        <f t="shared" si="41"/>
        <v>1.0569278835316158</v>
      </c>
      <c r="AL94" s="14">
        <f t="shared" si="42"/>
        <v>761.24337321358621</v>
      </c>
      <c r="AM94" s="13">
        <f t="shared" si="43"/>
        <v>1.0569278835316158</v>
      </c>
      <c r="AN94" s="14">
        <f t="shared" si="44"/>
        <v>761.24337321358621</v>
      </c>
    </row>
    <row r="95" spans="1:40" x14ac:dyDescent="0.25">
      <c r="A95" s="50" t="s">
        <v>122</v>
      </c>
      <c r="B95" s="13">
        <f>($B$93+B94)</f>
        <v>109.64090906596115</v>
      </c>
      <c r="C95" s="5">
        <f t="shared" ref="C95:J95" si="70">($B$93+C94)</f>
        <v>109.98564214833672</v>
      </c>
      <c r="D95" s="5">
        <f t="shared" si="70"/>
        <v>110.15900864047902</v>
      </c>
      <c r="E95" s="13">
        <f t="shared" si="70"/>
        <v>109.61780939139101</v>
      </c>
      <c r="F95" s="5">
        <f t="shared" si="70"/>
        <v>109.83000993271716</v>
      </c>
      <c r="G95" s="14">
        <f t="shared" si="70"/>
        <v>110.07324951801884</v>
      </c>
      <c r="H95" s="13">
        <f t="shared" si="70"/>
        <v>109.5655481436459</v>
      </c>
      <c r="I95" s="5">
        <f t="shared" si="70"/>
        <v>109.77597508860315</v>
      </c>
      <c r="J95" s="14">
        <f t="shared" si="70"/>
        <v>110.01771558564529</v>
      </c>
      <c r="L95" s="105">
        <f>(L93+L94)</f>
        <v>109.25302716662566</v>
      </c>
      <c r="M95" s="106"/>
      <c r="N95" s="107"/>
      <c r="P95" s="13">
        <f t="shared" si="22"/>
        <v>1.0128046819111443</v>
      </c>
      <c r="Q95" s="5">
        <f t="shared" si="23"/>
        <v>756.76149574547901</v>
      </c>
      <c r="R95" s="13">
        <f t="shared" si="24"/>
        <v>1.0093411251331053</v>
      </c>
      <c r="S95" s="14">
        <f t="shared" si="25"/>
        <v>762.73940443000834</v>
      </c>
      <c r="T95" s="5">
        <f t="shared" si="26"/>
        <v>1.0076055091849014</v>
      </c>
      <c r="U95" s="5">
        <f t="shared" si="27"/>
        <v>765.81372226304541</v>
      </c>
      <c r="V95" s="13">
        <f t="shared" si="28"/>
        <v>1.0130367762778654</v>
      </c>
      <c r="W95" s="14">
        <f t="shared" si="29"/>
        <v>762.00984347825283</v>
      </c>
      <c r="X95" s="13">
        <f t="shared" si="30"/>
        <v>1.0109056174767643</v>
      </c>
      <c r="Y95" s="14">
        <f t="shared" si="31"/>
        <v>766.13707799849226</v>
      </c>
      <c r="Z95" s="13">
        <f t="shared" si="32"/>
        <v>1.0084652673783354</v>
      </c>
      <c r="AA95" s="14">
        <f t="shared" si="46"/>
        <v>770.4197011356116</v>
      </c>
      <c r="AB95" s="5">
        <f t="shared" si="33"/>
        <v>1.0118594490439843</v>
      </c>
      <c r="AC95" s="14">
        <f t="shared" si="34"/>
        <v>778.54475591461267</v>
      </c>
      <c r="AD95" s="13">
        <f t="shared" si="35"/>
        <v>1.0097455845525398</v>
      </c>
      <c r="AE95" s="14">
        <f t="shared" si="36"/>
        <v>782.41374300695213</v>
      </c>
      <c r="AF95" s="13">
        <f t="shared" si="37"/>
        <v>1.0073196714919088</v>
      </c>
      <c r="AG95" s="14">
        <f t="shared" si="38"/>
        <v>786.65364553854283</v>
      </c>
      <c r="AI95" s="13">
        <f t="shared" si="39"/>
        <v>1.0569278835316158</v>
      </c>
      <c r="AJ95" s="14">
        <f t="shared" si="40"/>
        <v>760.91147312639691</v>
      </c>
      <c r="AK95" s="13">
        <f t="shared" si="41"/>
        <v>1.0569278835316158</v>
      </c>
      <c r="AL95" s="14">
        <f t="shared" si="42"/>
        <v>761.24337321358621</v>
      </c>
      <c r="AM95" s="13">
        <f t="shared" si="43"/>
        <v>1.0569278835316158</v>
      </c>
      <c r="AN95" s="14">
        <f t="shared" si="44"/>
        <v>761.24337321358621</v>
      </c>
    </row>
    <row r="96" spans="1:40" x14ac:dyDescent="0.25">
      <c r="A96" s="51" t="s">
        <v>123</v>
      </c>
      <c r="B96" s="28">
        <f t="shared" ref="B96:J96" si="71">($B$93/$Y$45%)</f>
        <v>219.01594533029612</v>
      </c>
      <c r="C96" s="29">
        <f t="shared" si="71"/>
        <v>219.01594533029612</v>
      </c>
      <c r="D96" s="29">
        <f t="shared" si="71"/>
        <v>219.01594533029612</v>
      </c>
      <c r="E96" s="28">
        <f t="shared" si="71"/>
        <v>219.01594533029612</v>
      </c>
      <c r="F96" s="29">
        <f t="shared" si="71"/>
        <v>219.01594533029612</v>
      </c>
      <c r="G96" s="30">
        <f t="shared" si="71"/>
        <v>219.01594533029612</v>
      </c>
      <c r="H96" s="28">
        <f t="shared" si="71"/>
        <v>219.01594533029612</v>
      </c>
      <c r="I96" s="29">
        <f t="shared" si="71"/>
        <v>219.01594533029612</v>
      </c>
      <c r="J96" s="30">
        <f t="shared" si="71"/>
        <v>219.01594533029612</v>
      </c>
      <c r="L96" s="102">
        <f>(L93/Y45%)</f>
        <v>219.01594533029612</v>
      </c>
      <c r="M96" s="103"/>
      <c r="N96" s="104"/>
      <c r="P96" s="13">
        <f t="shared" si="22"/>
        <v>1.0128046819111443</v>
      </c>
      <c r="Q96" s="5">
        <f t="shared" si="23"/>
        <v>756.76149574547901</v>
      </c>
      <c r="R96" s="13">
        <f t="shared" si="24"/>
        <v>1.0093411251331053</v>
      </c>
      <c r="S96" s="14">
        <f t="shared" si="25"/>
        <v>762.73940443000834</v>
      </c>
      <c r="T96" s="5">
        <f t="shared" si="26"/>
        <v>1.0076055091849014</v>
      </c>
      <c r="U96" s="5">
        <f t="shared" si="27"/>
        <v>765.81372226304541</v>
      </c>
      <c r="V96" s="13">
        <f t="shared" si="28"/>
        <v>1.0130367762778654</v>
      </c>
      <c r="W96" s="14">
        <f t="shared" si="29"/>
        <v>762.00984347825283</v>
      </c>
      <c r="X96" s="13">
        <f t="shared" si="30"/>
        <v>1.0109056174767643</v>
      </c>
      <c r="Y96" s="14">
        <f t="shared" si="31"/>
        <v>766.13707799849226</v>
      </c>
      <c r="Z96" s="13">
        <f t="shared" si="32"/>
        <v>1.0084652673783354</v>
      </c>
      <c r="AA96" s="14">
        <f t="shared" si="46"/>
        <v>770.4197011356116</v>
      </c>
      <c r="AB96" s="5">
        <f t="shared" si="33"/>
        <v>1.0118594490439843</v>
      </c>
      <c r="AC96" s="14">
        <f t="shared" si="34"/>
        <v>778.54475591461267</v>
      </c>
      <c r="AD96" s="13">
        <f t="shared" si="35"/>
        <v>1.0097455845525398</v>
      </c>
      <c r="AE96" s="14">
        <f t="shared" si="36"/>
        <v>782.41374300695213</v>
      </c>
      <c r="AF96" s="13">
        <f t="shared" si="37"/>
        <v>1.0073196714919088</v>
      </c>
      <c r="AG96" s="14">
        <f t="shared" si="38"/>
        <v>786.65364553854283</v>
      </c>
      <c r="AI96" s="13">
        <f t="shared" si="39"/>
        <v>1.0569278835316158</v>
      </c>
      <c r="AJ96" s="14">
        <f t="shared" si="40"/>
        <v>760.91147312639691</v>
      </c>
      <c r="AK96" s="13">
        <f t="shared" si="41"/>
        <v>1.0569278835316158</v>
      </c>
      <c r="AL96" s="14">
        <f t="shared" si="42"/>
        <v>761.24337321358621</v>
      </c>
      <c r="AM96" s="13">
        <f t="shared" si="43"/>
        <v>1.0569278835316158</v>
      </c>
      <c r="AN96" s="14">
        <f t="shared" si="44"/>
        <v>761.24337321358621</v>
      </c>
    </row>
    <row r="97" spans="1:40" x14ac:dyDescent="0.25">
      <c r="A97" s="51" t="s">
        <v>124</v>
      </c>
      <c r="B97" s="28">
        <f t="shared" ref="B97:J97" si="72">(B94/$Y$45%)</f>
        <v>30.735555958909245</v>
      </c>
      <c r="C97" s="29">
        <f t="shared" si="72"/>
        <v>31.520824939263598</v>
      </c>
      <c r="D97" s="29">
        <f t="shared" si="72"/>
        <v>31.915737222047888</v>
      </c>
      <c r="E97" s="28">
        <f t="shared" si="72"/>
        <v>30.682937110230082</v>
      </c>
      <c r="F97" s="29">
        <f t="shared" si="72"/>
        <v>31.166309641724748</v>
      </c>
      <c r="G97" s="29">
        <f t="shared" si="72"/>
        <v>31.720386145828794</v>
      </c>
      <c r="H97" s="28">
        <f t="shared" si="72"/>
        <v>30.563890987803873</v>
      </c>
      <c r="I97" s="29">
        <f t="shared" si="72"/>
        <v>31.043223436453641</v>
      </c>
      <c r="J97" s="30">
        <f t="shared" si="72"/>
        <v>31.593885160923218</v>
      </c>
      <c r="L97" s="102">
        <f>(L94/Y45%)</f>
        <v>29.851998101652974</v>
      </c>
      <c r="M97" s="103"/>
      <c r="N97" s="104"/>
      <c r="P97" s="13">
        <f t="shared" si="22"/>
        <v>1.0128046819111443</v>
      </c>
      <c r="Q97" s="5">
        <f t="shared" si="23"/>
        <v>756.76149574547901</v>
      </c>
      <c r="R97" s="13">
        <f t="shared" si="24"/>
        <v>1.0093411251331053</v>
      </c>
      <c r="S97" s="14">
        <f t="shared" si="25"/>
        <v>762.73940443000834</v>
      </c>
      <c r="T97" s="5">
        <f t="shared" si="26"/>
        <v>1.0076055091849014</v>
      </c>
      <c r="U97" s="5">
        <f t="shared" si="27"/>
        <v>765.81372226304541</v>
      </c>
      <c r="V97" s="13">
        <f t="shared" si="28"/>
        <v>1.0130367762778654</v>
      </c>
      <c r="W97" s="14">
        <f t="shared" si="29"/>
        <v>762.00984347825283</v>
      </c>
      <c r="X97" s="13">
        <f t="shared" si="30"/>
        <v>1.0109056174767643</v>
      </c>
      <c r="Y97" s="14">
        <f t="shared" si="31"/>
        <v>766.13707799849226</v>
      </c>
      <c r="Z97" s="13">
        <f t="shared" si="32"/>
        <v>1.0084652673783354</v>
      </c>
      <c r="AA97" s="14">
        <f t="shared" si="46"/>
        <v>770.4197011356116</v>
      </c>
      <c r="AB97" s="5">
        <f t="shared" si="33"/>
        <v>1.0118594490439843</v>
      </c>
      <c r="AC97" s="14">
        <f t="shared" si="34"/>
        <v>778.54475591461267</v>
      </c>
      <c r="AD97" s="13">
        <f t="shared" si="35"/>
        <v>1.0097455845525398</v>
      </c>
      <c r="AE97" s="14">
        <f t="shared" si="36"/>
        <v>782.41374300695213</v>
      </c>
      <c r="AF97" s="13">
        <f t="shared" si="37"/>
        <v>1.0073196714919088</v>
      </c>
      <c r="AG97" s="14">
        <f t="shared" si="38"/>
        <v>786.65364553854283</v>
      </c>
      <c r="AI97" s="13">
        <f t="shared" si="39"/>
        <v>1.0569278835316158</v>
      </c>
      <c r="AJ97" s="14">
        <f t="shared" si="40"/>
        <v>760.91147312639691</v>
      </c>
      <c r="AK97" s="13">
        <f t="shared" si="41"/>
        <v>1.0569278835316158</v>
      </c>
      <c r="AL97" s="14">
        <f t="shared" si="42"/>
        <v>761.24337321358621</v>
      </c>
      <c r="AM97" s="13">
        <f t="shared" si="43"/>
        <v>1.0569278835316158</v>
      </c>
      <c r="AN97" s="14">
        <f t="shared" si="44"/>
        <v>761.24337321358621</v>
      </c>
    </row>
    <row r="98" spans="1:40" ht="15.75" thickBot="1" x14ac:dyDescent="0.3">
      <c r="A98" s="53" t="s">
        <v>125</v>
      </c>
      <c r="B98" s="24">
        <f>SUM(B96:B97)</f>
        <v>249.75150128920535</v>
      </c>
      <c r="C98" s="25">
        <f t="shared" ref="C98" si="73">SUM(C96:C97)</f>
        <v>250.53677026955972</v>
      </c>
      <c r="D98" s="25">
        <f t="shared" ref="D98" si="74">SUM(D96:D97)</f>
        <v>250.931682552344</v>
      </c>
      <c r="E98" s="24">
        <f t="shared" ref="E98" si="75">SUM(E96:E97)</f>
        <v>249.69888244052621</v>
      </c>
      <c r="F98" s="25">
        <f t="shared" ref="F98" si="76">SUM(F96:F97)</f>
        <v>250.18225497202087</v>
      </c>
      <c r="G98" s="26">
        <f t="shared" ref="G98" si="77">SUM(G96:G97)</f>
        <v>250.73633147612492</v>
      </c>
      <c r="H98" s="24">
        <f t="shared" ref="H98" si="78">SUM(H96:H97)</f>
        <v>249.57983631809998</v>
      </c>
      <c r="I98" s="25">
        <f t="shared" ref="I98" si="79">SUM(I96:I97)</f>
        <v>250.05916876674976</v>
      </c>
      <c r="J98" s="26">
        <f t="shared" ref="J98" si="80">SUM(J96:J97)</f>
        <v>250.60983049121933</v>
      </c>
      <c r="L98" s="99">
        <f>SUM(L96:L97)</f>
        <v>248.8679434319491</v>
      </c>
      <c r="M98" s="100"/>
      <c r="N98" s="101"/>
      <c r="P98" s="13">
        <f t="shared" si="22"/>
        <v>1.0128046819111443</v>
      </c>
      <c r="Q98" s="5">
        <f t="shared" si="23"/>
        <v>756.76149574547901</v>
      </c>
      <c r="R98" s="13">
        <f t="shared" si="24"/>
        <v>1.0093411251331053</v>
      </c>
      <c r="S98" s="14">
        <f t="shared" si="25"/>
        <v>762.73940443000834</v>
      </c>
      <c r="T98" s="5">
        <f t="shared" si="26"/>
        <v>1.0076055091849014</v>
      </c>
      <c r="U98" s="5">
        <f t="shared" si="27"/>
        <v>765.81372226304541</v>
      </c>
      <c r="V98" s="13">
        <f t="shared" si="28"/>
        <v>1.0130367762778654</v>
      </c>
      <c r="W98" s="14">
        <f t="shared" si="29"/>
        <v>762.00984347825283</v>
      </c>
      <c r="X98" s="13">
        <f t="shared" si="30"/>
        <v>1.0109056174767643</v>
      </c>
      <c r="Y98" s="14">
        <f t="shared" si="31"/>
        <v>766.13707799849226</v>
      </c>
      <c r="Z98" s="13">
        <f t="shared" si="32"/>
        <v>1.0084652673783354</v>
      </c>
      <c r="AA98" s="14">
        <f t="shared" si="46"/>
        <v>770.4197011356116</v>
      </c>
      <c r="AB98" s="5">
        <f t="shared" si="33"/>
        <v>1.0118594490439843</v>
      </c>
      <c r="AC98" s="14">
        <f t="shared" si="34"/>
        <v>778.54475591461267</v>
      </c>
      <c r="AD98" s="13">
        <f t="shared" si="35"/>
        <v>1.0097455845525398</v>
      </c>
      <c r="AE98" s="14">
        <f t="shared" si="36"/>
        <v>782.41374300695213</v>
      </c>
      <c r="AF98" s="13">
        <f t="shared" si="37"/>
        <v>1.0073196714919088</v>
      </c>
      <c r="AG98" s="14">
        <f t="shared" si="38"/>
        <v>786.65364553854283</v>
      </c>
      <c r="AI98" s="13">
        <f t="shared" si="39"/>
        <v>1.0569278835316158</v>
      </c>
      <c r="AJ98" s="14">
        <f t="shared" si="40"/>
        <v>760.91147312639691</v>
      </c>
      <c r="AK98" s="13">
        <f t="shared" si="41"/>
        <v>1.0569278835316158</v>
      </c>
      <c r="AL98" s="14">
        <f t="shared" si="42"/>
        <v>761.24337321358621</v>
      </c>
      <c r="AM98" s="13">
        <f t="shared" si="43"/>
        <v>1.0569278835316158</v>
      </c>
      <c r="AN98" s="14">
        <f t="shared" si="44"/>
        <v>761.24337321358621</v>
      </c>
    </row>
    <row r="99" spans="1:40" ht="16.5" thickBot="1" x14ac:dyDescent="0.3">
      <c r="N99" s="43"/>
      <c r="P99" s="13">
        <f t="shared" si="22"/>
        <v>1.0128046819111443</v>
      </c>
      <c r="Q99" s="5">
        <f t="shared" si="23"/>
        <v>756.76149574547901</v>
      </c>
      <c r="R99" s="13">
        <f t="shared" si="24"/>
        <v>1.0093411251331053</v>
      </c>
      <c r="S99" s="14">
        <f t="shared" si="25"/>
        <v>762.73940443000834</v>
      </c>
      <c r="T99" s="5">
        <f t="shared" si="26"/>
        <v>1.0076055091849014</v>
      </c>
      <c r="U99" s="5">
        <f t="shared" si="27"/>
        <v>765.81372226304541</v>
      </c>
      <c r="V99" s="13">
        <f t="shared" si="28"/>
        <v>1.0130367762778654</v>
      </c>
      <c r="W99" s="14">
        <f t="shared" si="29"/>
        <v>762.00984347825283</v>
      </c>
      <c r="X99" s="13">
        <f t="shared" si="30"/>
        <v>1.0109056174767643</v>
      </c>
      <c r="Y99" s="14">
        <f t="shared" si="31"/>
        <v>766.13707799849226</v>
      </c>
      <c r="Z99" s="13">
        <f t="shared" si="32"/>
        <v>1.0084652673783354</v>
      </c>
      <c r="AA99" s="14">
        <f t="shared" si="46"/>
        <v>770.4197011356116</v>
      </c>
      <c r="AB99" s="5">
        <f t="shared" si="33"/>
        <v>1.0118594490439843</v>
      </c>
      <c r="AC99" s="14">
        <f t="shared" si="34"/>
        <v>778.54475591461267</v>
      </c>
      <c r="AD99" s="13">
        <f t="shared" si="35"/>
        <v>1.0097455845525398</v>
      </c>
      <c r="AE99" s="14">
        <f t="shared" si="36"/>
        <v>782.41374300695213</v>
      </c>
      <c r="AF99" s="13">
        <f t="shared" si="37"/>
        <v>1.0073196714919088</v>
      </c>
      <c r="AG99" s="14">
        <f t="shared" si="38"/>
        <v>786.65364553854283</v>
      </c>
      <c r="AI99" s="13">
        <f t="shared" si="39"/>
        <v>1.0569278835316158</v>
      </c>
      <c r="AJ99" s="14">
        <f t="shared" si="40"/>
        <v>760.91147312639691</v>
      </c>
      <c r="AK99" s="13">
        <f t="shared" si="41"/>
        <v>1.0569278835316158</v>
      </c>
      <c r="AL99" s="14">
        <f t="shared" si="42"/>
        <v>761.24337321358621</v>
      </c>
      <c r="AM99" s="13">
        <f t="shared" si="43"/>
        <v>1.0569278835316158</v>
      </c>
      <c r="AN99" s="14">
        <f t="shared" si="44"/>
        <v>761.24337321358621</v>
      </c>
    </row>
    <row r="100" spans="1:40" ht="15.75" thickBot="1" x14ac:dyDescent="0.3">
      <c r="A100" s="54" t="s">
        <v>126</v>
      </c>
      <c r="B100" s="75">
        <f>(3.72*R3)/1000</f>
        <v>1.9344000000000001</v>
      </c>
      <c r="C100" s="77"/>
      <c r="D100" s="77"/>
      <c r="E100" s="77"/>
      <c r="F100" s="77"/>
      <c r="G100" s="77"/>
      <c r="H100" s="77"/>
      <c r="I100" s="77"/>
      <c r="J100" s="79"/>
      <c r="L100" s="75">
        <f>(3.72*R3)/1000</f>
        <v>1.9344000000000001</v>
      </c>
      <c r="M100" s="77"/>
      <c r="N100" s="79"/>
      <c r="P100" s="13">
        <f t="shared" si="22"/>
        <v>1.0128046819111443</v>
      </c>
      <c r="Q100" s="5">
        <f t="shared" si="23"/>
        <v>756.76149574547901</v>
      </c>
      <c r="R100" s="13">
        <f t="shared" si="24"/>
        <v>1.0093411251331053</v>
      </c>
      <c r="S100" s="14">
        <f t="shared" si="25"/>
        <v>762.73940443000834</v>
      </c>
      <c r="T100" s="5">
        <f t="shared" si="26"/>
        <v>1.0076055091849014</v>
      </c>
      <c r="U100" s="5">
        <f t="shared" si="27"/>
        <v>765.81372226304541</v>
      </c>
      <c r="V100" s="13">
        <f t="shared" si="28"/>
        <v>1.0130367762778654</v>
      </c>
      <c r="W100" s="14">
        <f t="shared" si="29"/>
        <v>762.00984347825283</v>
      </c>
      <c r="X100" s="13">
        <f t="shared" si="30"/>
        <v>1.0109056174767643</v>
      </c>
      <c r="Y100" s="14">
        <f t="shared" si="31"/>
        <v>766.13707799849226</v>
      </c>
      <c r="Z100" s="13">
        <f t="shared" si="32"/>
        <v>1.0084652673783354</v>
      </c>
      <c r="AA100" s="14">
        <f t="shared" si="46"/>
        <v>770.4197011356116</v>
      </c>
      <c r="AB100" s="5">
        <f t="shared" si="33"/>
        <v>1.0118594490439843</v>
      </c>
      <c r="AC100" s="14">
        <f t="shared" si="34"/>
        <v>778.54475591461267</v>
      </c>
      <c r="AD100" s="13">
        <f t="shared" si="35"/>
        <v>1.0097455845525398</v>
      </c>
      <c r="AE100" s="14">
        <f t="shared" si="36"/>
        <v>782.41374300695213</v>
      </c>
      <c r="AF100" s="13">
        <f t="shared" si="37"/>
        <v>1.0073196714919088</v>
      </c>
      <c r="AG100" s="14">
        <f t="shared" si="38"/>
        <v>786.65364553854283</v>
      </c>
      <c r="AI100" s="13">
        <f t="shared" si="39"/>
        <v>1.0569278835316158</v>
      </c>
      <c r="AJ100" s="14">
        <f t="shared" si="40"/>
        <v>760.91147312639691</v>
      </c>
      <c r="AK100" s="13">
        <f t="shared" si="41"/>
        <v>1.0569278835316158</v>
      </c>
      <c r="AL100" s="14">
        <f t="shared" si="42"/>
        <v>761.24337321358621</v>
      </c>
      <c r="AM100" s="13">
        <f t="shared" si="43"/>
        <v>1.0569278835316158</v>
      </c>
      <c r="AN100" s="14">
        <f t="shared" si="44"/>
        <v>761.24337321358621</v>
      </c>
    </row>
    <row r="101" spans="1:40" x14ac:dyDescent="0.25">
      <c r="A101" s="50" t="s">
        <v>127</v>
      </c>
      <c r="B101" s="22">
        <f>($P$16*(1.07*S14^-0.07))</f>
        <v>1.0139816293667083</v>
      </c>
      <c r="C101" s="11">
        <f>($P$16*(1.07*V14^-0.07))</f>
        <v>1.0117457597101707</v>
      </c>
      <c r="D101" s="11">
        <f>($P$16*(1.07*Y14^-0.07))</f>
        <v>1.0106441201925884</v>
      </c>
      <c r="E101" s="22">
        <f>($P$16*(1.07*T14^-0.07))</f>
        <v>1.0141336641583023</v>
      </c>
      <c r="F101" s="11">
        <f>($P$16*(1.07*W14^-0.07))</f>
        <v>1.0127475701635933</v>
      </c>
      <c r="G101" s="12">
        <f>($P$16*(1.07*Z14^-0.07))</f>
        <v>1.0111872034578648</v>
      </c>
      <c r="H101" s="11">
        <f>($P$16*(1.07*U14^-0.07))</f>
        <v>1.0144786802186492</v>
      </c>
      <c r="I101" s="11">
        <f>($P$16*(1.07*X14^-0.07))</f>
        <v>1.0130982957547132</v>
      </c>
      <c r="J101" s="12">
        <f>($P$16*(1.07*AA14^-0.07))</f>
        <v>1.0115408247549522</v>
      </c>
      <c r="L101" s="105">
        <f>($R$8*(1.07*Q8^-0.07))</f>
        <v>1.016572852586257</v>
      </c>
      <c r="M101" s="106"/>
      <c r="N101" s="107"/>
      <c r="P101" s="13">
        <f t="shared" si="22"/>
        <v>1.0128046819111443</v>
      </c>
      <c r="Q101" s="5">
        <f t="shared" si="23"/>
        <v>756.76149574547901</v>
      </c>
      <c r="R101" s="13">
        <f t="shared" si="24"/>
        <v>1.0093411251331053</v>
      </c>
      <c r="S101" s="14">
        <f t="shared" si="25"/>
        <v>762.73940443000834</v>
      </c>
      <c r="T101" s="5">
        <f t="shared" si="26"/>
        <v>1.0076055091849014</v>
      </c>
      <c r="U101" s="5">
        <f t="shared" si="27"/>
        <v>765.81372226304541</v>
      </c>
      <c r="V101" s="13">
        <f t="shared" si="28"/>
        <v>1.0130367762778654</v>
      </c>
      <c r="W101" s="14">
        <f t="shared" si="29"/>
        <v>762.00984347825283</v>
      </c>
      <c r="X101" s="13">
        <f t="shared" si="30"/>
        <v>1.0109056174767643</v>
      </c>
      <c r="Y101" s="14">
        <f t="shared" si="31"/>
        <v>766.13707799849226</v>
      </c>
      <c r="Z101" s="13">
        <f t="shared" si="32"/>
        <v>1.0084652673783354</v>
      </c>
      <c r="AA101" s="14">
        <f t="shared" si="46"/>
        <v>770.4197011356116</v>
      </c>
      <c r="AB101" s="5">
        <f t="shared" si="33"/>
        <v>1.0118594490439843</v>
      </c>
      <c r="AC101" s="14">
        <f t="shared" si="34"/>
        <v>778.54475591461267</v>
      </c>
      <c r="AD101" s="13">
        <f t="shared" si="35"/>
        <v>1.0097455845525398</v>
      </c>
      <c r="AE101" s="14">
        <f t="shared" si="36"/>
        <v>782.41374300695213</v>
      </c>
      <c r="AF101" s="13">
        <f t="shared" si="37"/>
        <v>1.0073196714919088</v>
      </c>
      <c r="AG101" s="14">
        <f t="shared" si="38"/>
        <v>786.65364553854283</v>
      </c>
      <c r="AI101" s="13">
        <f t="shared" si="39"/>
        <v>1.0569278835316158</v>
      </c>
      <c r="AJ101" s="14">
        <f t="shared" si="40"/>
        <v>760.91147312639691</v>
      </c>
      <c r="AK101" s="13">
        <f t="shared" si="41"/>
        <v>1.0569278835316158</v>
      </c>
      <c r="AL101" s="14">
        <f t="shared" si="42"/>
        <v>761.24337321358621</v>
      </c>
      <c r="AM101" s="13">
        <f t="shared" si="43"/>
        <v>1.0569278835316158</v>
      </c>
      <c r="AN101" s="14">
        <f t="shared" si="44"/>
        <v>761.24337321358621</v>
      </c>
    </row>
    <row r="102" spans="1:40" x14ac:dyDescent="0.25">
      <c r="A102" s="50" t="s">
        <v>128</v>
      </c>
      <c r="B102" s="13">
        <f>($B$100+B101)</f>
        <v>2.9483816293667084</v>
      </c>
      <c r="C102" s="5">
        <f t="shared" ref="C102:J102" si="81">($B$100+C101)</f>
        <v>2.9461457597101708</v>
      </c>
      <c r="D102" s="5">
        <f t="shared" si="81"/>
        <v>2.9450441201925885</v>
      </c>
      <c r="E102" s="13">
        <f t="shared" si="81"/>
        <v>2.9485336641583024</v>
      </c>
      <c r="F102" s="5">
        <f t="shared" si="81"/>
        <v>2.9471475701635934</v>
      </c>
      <c r="G102" s="14">
        <f t="shared" si="81"/>
        <v>2.945587203457865</v>
      </c>
      <c r="H102" s="5">
        <f t="shared" si="81"/>
        <v>2.9488786802186491</v>
      </c>
      <c r="I102" s="5">
        <f t="shared" si="81"/>
        <v>2.9474982957547136</v>
      </c>
      <c r="J102" s="14">
        <f t="shared" si="81"/>
        <v>2.9459408247549526</v>
      </c>
      <c r="L102" s="105">
        <f>(L100+L101)</f>
        <v>2.9509728525862569</v>
      </c>
      <c r="M102" s="106"/>
      <c r="N102" s="107"/>
      <c r="P102" s="13">
        <f t="shared" si="22"/>
        <v>1.0128046819111443</v>
      </c>
      <c r="Q102" s="5">
        <f t="shared" si="23"/>
        <v>756.76149574547901</v>
      </c>
      <c r="R102" s="13">
        <f t="shared" si="24"/>
        <v>1.0093411251331053</v>
      </c>
      <c r="S102" s="14">
        <f t="shared" si="25"/>
        <v>762.73940443000834</v>
      </c>
      <c r="T102" s="5">
        <f t="shared" si="26"/>
        <v>1.0076055091849014</v>
      </c>
      <c r="U102" s="5">
        <f t="shared" si="27"/>
        <v>765.81372226304541</v>
      </c>
      <c r="V102" s="13">
        <f t="shared" si="28"/>
        <v>1.0130367762778654</v>
      </c>
      <c r="W102" s="14">
        <f t="shared" si="29"/>
        <v>762.00984347825283</v>
      </c>
      <c r="X102" s="13">
        <f t="shared" si="30"/>
        <v>1.0109056174767643</v>
      </c>
      <c r="Y102" s="14">
        <f t="shared" si="31"/>
        <v>766.13707799849226</v>
      </c>
      <c r="Z102" s="13">
        <f t="shared" si="32"/>
        <v>1.0084652673783354</v>
      </c>
      <c r="AA102" s="14">
        <f t="shared" si="46"/>
        <v>770.4197011356116</v>
      </c>
      <c r="AB102" s="5">
        <f t="shared" si="33"/>
        <v>1.0118594490439843</v>
      </c>
      <c r="AC102" s="14">
        <f t="shared" si="34"/>
        <v>778.54475591461267</v>
      </c>
      <c r="AD102" s="13">
        <f t="shared" si="35"/>
        <v>1.0097455845525398</v>
      </c>
      <c r="AE102" s="14">
        <f t="shared" si="36"/>
        <v>782.41374300695213</v>
      </c>
      <c r="AF102" s="13">
        <f t="shared" si="37"/>
        <v>1.0073196714919088</v>
      </c>
      <c r="AG102" s="14">
        <f t="shared" si="38"/>
        <v>786.65364553854283</v>
      </c>
      <c r="AI102" s="13">
        <f t="shared" si="39"/>
        <v>1.0569278835316158</v>
      </c>
      <c r="AJ102" s="14">
        <f t="shared" si="40"/>
        <v>760.91147312639691</v>
      </c>
      <c r="AK102" s="13">
        <f t="shared" si="41"/>
        <v>1.0569278835316158</v>
      </c>
      <c r="AL102" s="14">
        <f t="shared" si="42"/>
        <v>761.24337321358621</v>
      </c>
      <c r="AM102" s="13">
        <f t="shared" si="43"/>
        <v>1.0569278835316158</v>
      </c>
      <c r="AN102" s="14">
        <f t="shared" si="44"/>
        <v>761.24337321358621</v>
      </c>
    </row>
    <row r="103" spans="1:40" x14ac:dyDescent="0.25">
      <c r="A103" s="51" t="s">
        <v>129</v>
      </c>
      <c r="B103" s="28">
        <f t="shared" ref="B103:J103" si="82">($B$100/$Z$45%)</f>
        <v>3.9720739219712526</v>
      </c>
      <c r="C103" s="29">
        <f t="shared" si="82"/>
        <v>3.9720739219712526</v>
      </c>
      <c r="D103" s="29">
        <f t="shared" si="82"/>
        <v>3.9720739219712526</v>
      </c>
      <c r="E103" s="28">
        <f t="shared" si="82"/>
        <v>3.9720739219712526</v>
      </c>
      <c r="F103" s="29">
        <f t="shared" si="82"/>
        <v>3.9720739219712526</v>
      </c>
      <c r="G103" s="30">
        <f t="shared" si="82"/>
        <v>3.9720739219712526</v>
      </c>
      <c r="H103" s="29">
        <f t="shared" si="82"/>
        <v>3.9720739219712526</v>
      </c>
      <c r="I103" s="29">
        <f t="shared" si="82"/>
        <v>3.9720739219712526</v>
      </c>
      <c r="J103" s="30">
        <f t="shared" si="82"/>
        <v>3.9720739219712526</v>
      </c>
      <c r="L103" s="102">
        <f>(L100/Z45%)</f>
        <v>3.9720739219712526</v>
      </c>
      <c r="M103" s="103"/>
      <c r="N103" s="104"/>
      <c r="P103" s="13">
        <f t="shared" si="22"/>
        <v>1.0128046819111443</v>
      </c>
      <c r="Q103" s="5">
        <f t="shared" si="23"/>
        <v>756.76149574547901</v>
      </c>
      <c r="R103" s="13">
        <f t="shared" si="24"/>
        <v>1.0093411251331053</v>
      </c>
      <c r="S103" s="14">
        <f t="shared" si="25"/>
        <v>762.73940443000834</v>
      </c>
      <c r="T103" s="5">
        <f t="shared" si="26"/>
        <v>1.0076055091849014</v>
      </c>
      <c r="U103" s="5">
        <f t="shared" si="27"/>
        <v>765.81372226304541</v>
      </c>
      <c r="V103" s="13">
        <f t="shared" si="28"/>
        <v>1.0130367762778654</v>
      </c>
      <c r="W103" s="14">
        <f t="shared" si="29"/>
        <v>762.00984347825283</v>
      </c>
      <c r="X103" s="13">
        <f t="shared" si="30"/>
        <v>1.0109056174767643</v>
      </c>
      <c r="Y103" s="14">
        <f t="shared" si="31"/>
        <v>766.13707799849226</v>
      </c>
      <c r="Z103" s="13">
        <f t="shared" si="32"/>
        <v>1.0084652673783354</v>
      </c>
      <c r="AA103" s="14">
        <f t="shared" si="46"/>
        <v>770.4197011356116</v>
      </c>
      <c r="AB103" s="5">
        <f t="shared" si="33"/>
        <v>1.0118594490439843</v>
      </c>
      <c r="AC103" s="14">
        <f t="shared" si="34"/>
        <v>778.54475591461267</v>
      </c>
      <c r="AD103" s="13">
        <f t="shared" si="35"/>
        <v>1.0097455845525398</v>
      </c>
      <c r="AE103" s="14">
        <f t="shared" si="36"/>
        <v>782.41374300695213</v>
      </c>
      <c r="AF103" s="13">
        <f t="shared" si="37"/>
        <v>1.0073196714919088</v>
      </c>
      <c r="AG103" s="14">
        <f t="shared" si="38"/>
        <v>786.65364553854283</v>
      </c>
      <c r="AI103" s="13">
        <f t="shared" si="39"/>
        <v>1.0569278835316158</v>
      </c>
      <c r="AJ103" s="14">
        <f t="shared" si="40"/>
        <v>760.91147312639691</v>
      </c>
      <c r="AK103" s="13">
        <f t="shared" si="41"/>
        <v>1.0569278835316158</v>
      </c>
      <c r="AL103" s="14">
        <f t="shared" si="42"/>
        <v>761.24337321358621</v>
      </c>
      <c r="AM103" s="13">
        <f t="shared" si="43"/>
        <v>1.0569278835316158</v>
      </c>
      <c r="AN103" s="14">
        <f t="shared" si="44"/>
        <v>761.24337321358621</v>
      </c>
    </row>
    <row r="104" spans="1:40" x14ac:dyDescent="0.25">
      <c r="A104" s="51" t="s">
        <v>130</v>
      </c>
      <c r="B104" s="28">
        <f t="shared" ref="B104:J104" si="83">(B101/$Z$45%)</f>
        <v>2.0820978015743496</v>
      </c>
      <c r="C104" s="29">
        <f t="shared" si="83"/>
        <v>2.0775066934500424</v>
      </c>
      <c r="D104" s="29">
        <f t="shared" si="83"/>
        <v>2.0752445999847811</v>
      </c>
      <c r="E104" s="28">
        <f t="shared" si="83"/>
        <v>2.0824099880047275</v>
      </c>
      <c r="F104" s="29">
        <f t="shared" si="83"/>
        <v>2.0795637991038873</v>
      </c>
      <c r="G104" s="30">
        <f t="shared" si="83"/>
        <v>2.0763597606937676</v>
      </c>
      <c r="H104" s="29">
        <f t="shared" si="83"/>
        <v>2.0831184398740228</v>
      </c>
      <c r="I104" s="29">
        <f t="shared" si="83"/>
        <v>2.0802839748556736</v>
      </c>
      <c r="J104" s="30">
        <f t="shared" si="83"/>
        <v>2.0770858824537006</v>
      </c>
      <c r="L104" s="102">
        <f>(L101/Z45%)</f>
        <v>2.0874185884728069</v>
      </c>
      <c r="M104" s="103"/>
      <c r="N104" s="104"/>
      <c r="P104" s="13">
        <f t="shared" si="22"/>
        <v>1.0128046819111443</v>
      </c>
      <c r="Q104" s="5">
        <f t="shared" si="23"/>
        <v>756.76149574547901</v>
      </c>
      <c r="R104" s="13">
        <f t="shared" si="24"/>
        <v>1.0093411251331053</v>
      </c>
      <c r="S104" s="14">
        <f t="shared" si="25"/>
        <v>762.73940443000834</v>
      </c>
      <c r="T104" s="5">
        <f t="shared" si="26"/>
        <v>1.0076055091849014</v>
      </c>
      <c r="U104" s="5">
        <f t="shared" si="27"/>
        <v>765.81372226304541</v>
      </c>
      <c r="V104" s="13">
        <f t="shared" si="28"/>
        <v>1.0130367762778654</v>
      </c>
      <c r="W104" s="14">
        <f t="shared" si="29"/>
        <v>762.00984347825283</v>
      </c>
      <c r="X104" s="13">
        <f t="shared" si="30"/>
        <v>1.0109056174767643</v>
      </c>
      <c r="Y104" s="14">
        <f t="shared" si="31"/>
        <v>766.13707799849226</v>
      </c>
      <c r="Z104" s="13">
        <f t="shared" si="32"/>
        <v>1.0084652673783354</v>
      </c>
      <c r="AA104" s="14">
        <f t="shared" si="46"/>
        <v>770.4197011356116</v>
      </c>
      <c r="AB104" s="5">
        <f t="shared" si="33"/>
        <v>1.0118594490439843</v>
      </c>
      <c r="AC104" s="14">
        <f t="shared" si="34"/>
        <v>778.54475591461267</v>
      </c>
      <c r="AD104" s="13">
        <f t="shared" si="35"/>
        <v>1.0097455845525398</v>
      </c>
      <c r="AE104" s="14">
        <f t="shared" si="36"/>
        <v>782.41374300695213</v>
      </c>
      <c r="AF104" s="13">
        <f t="shared" si="37"/>
        <v>1.0073196714919088</v>
      </c>
      <c r="AG104" s="14">
        <f t="shared" si="38"/>
        <v>786.65364553854283</v>
      </c>
      <c r="AI104" s="13">
        <f t="shared" si="39"/>
        <v>1.0569278835316158</v>
      </c>
      <c r="AJ104" s="14">
        <f t="shared" si="40"/>
        <v>760.91147312639691</v>
      </c>
      <c r="AK104" s="13">
        <f t="shared" si="41"/>
        <v>1.0569278835316158</v>
      </c>
      <c r="AL104" s="14">
        <f t="shared" si="42"/>
        <v>761.24337321358621</v>
      </c>
      <c r="AM104" s="13">
        <f t="shared" si="43"/>
        <v>1.0569278835316158</v>
      </c>
      <c r="AN104" s="14">
        <f t="shared" si="44"/>
        <v>761.24337321358621</v>
      </c>
    </row>
    <row r="105" spans="1:40" ht="15.75" thickBot="1" x14ac:dyDescent="0.3">
      <c r="A105" s="53" t="s">
        <v>131</v>
      </c>
      <c r="B105" s="24">
        <f>SUM(B103:B104)</f>
        <v>6.0541717235456023</v>
      </c>
      <c r="C105" s="25">
        <f t="shared" ref="C105" si="84">SUM(C103:C104)</f>
        <v>6.049580615421295</v>
      </c>
      <c r="D105" s="25">
        <f t="shared" ref="D105" si="85">SUM(D103:D104)</f>
        <v>6.0473185219560337</v>
      </c>
      <c r="E105" s="24">
        <f t="shared" ref="E105" si="86">SUM(E103:E104)</f>
        <v>6.0544839099759802</v>
      </c>
      <c r="F105" s="25">
        <f t="shared" ref="F105" si="87">SUM(F103:F104)</f>
        <v>6.0516377210751404</v>
      </c>
      <c r="G105" s="26">
        <f t="shared" ref="G105" si="88">SUM(G103:G104)</f>
        <v>6.0484336826650207</v>
      </c>
      <c r="H105" s="25">
        <f t="shared" ref="H105" si="89">SUM(H103:H104)</f>
        <v>6.0551923618452754</v>
      </c>
      <c r="I105" s="25">
        <f t="shared" ref="I105" si="90">SUM(I103:I104)</f>
        <v>6.0523578968269263</v>
      </c>
      <c r="J105" s="26">
        <f t="shared" ref="J105" si="91">SUM(J103:J104)</f>
        <v>6.0491598044249528</v>
      </c>
      <c r="L105" s="99">
        <f>SUM(L103:L104)</f>
        <v>6.0594925104440591</v>
      </c>
      <c r="M105" s="100"/>
      <c r="N105" s="101"/>
      <c r="P105" s="13">
        <f t="shared" si="22"/>
        <v>1.0128046819111443</v>
      </c>
      <c r="Q105" s="5">
        <f t="shared" si="23"/>
        <v>756.76149574547901</v>
      </c>
      <c r="R105" s="13">
        <f t="shared" si="24"/>
        <v>1.0093411251331053</v>
      </c>
      <c r="S105" s="14">
        <f t="shared" si="25"/>
        <v>762.73940443000834</v>
      </c>
      <c r="T105" s="5">
        <f t="shared" si="26"/>
        <v>1.0076055091849014</v>
      </c>
      <c r="U105" s="5">
        <f t="shared" si="27"/>
        <v>765.81372226304541</v>
      </c>
      <c r="V105" s="13">
        <f t="shared" si="28"/>
        <v>1.0130367762778654</v>
      </c>
      <c r="W105" s="14">
        <f t="shared" si="29"/>
        <v>762.00984347825283</v>
      </c>
      <c r="X105" s="13">
        <f t="shared" si="30"/>
        <v>1.0109056174767643</v>
      </c>
      <c r="Y105" s="14">
        <f t="shared" si="31"/>
        <v>766.13707799849226</v>
      </c>
      <c r="Z105" s="13">
        <f t="shared" si="32"/>
        <v>1.0084652673783354</v>
      </c>
      <c r="AA105" s="14">
        <f t="shared" si="46"/>
        <v>770.4197011356116</v>
      </c>
      <c r="AB105" s="5">
        <f t="shared" si="33"/>
        <v>1.0118594490439843</v>
      </c>
      <c r="AC105" s="14">
        <f t="shared" si="34"/>
        <v>778.54475591461267</v>
      </c>
      <c r="AD105" s="13">
        <f t="shared" si="35"/>
        <v>1.0097455845525398</v>
      </c>
      <c r="AE105" s="14">
        <f t="shared" si="36"/>
        <v>782.41374300695213</v>
      </c>
      <c r="AF105" s="13">
        <f t="shared" si="37"/>
        <v>1.0073196714919088</v>
      </c>
      <c r="AG105" s="14">
        <f t="shared" si="38"/>
        <v>786.65364553854283</v>
      </c>
      <c r="AI105" s="13">
        <f t="shared" si="39"/>
        <v>1.0569278835316158</v>
      </c>
      <c r="AJ105" s="14">
        <f t="shared" si="40"/>
        <v>760.91147312639691</v>
      </c>
      <c r="AK105" s="13">
        <f t="shared" si="41"/>
        <v>1.0569278835316158</v>
      </c>
      <c r="AL105" s="14">
        <f t="shared" si="42"/>
        <v>761.24337321358621</v>
      </c>
      <c r="AM105" s="13">
        <f t="shared" si="43"/>
        <v>1.0569278835316158</v>
      </c>
      <c r="AN105" s="14">
        <f t="shared" si="44"/>
        <v>761.24337321358621</v>
      </c>
    </row>
    <row r="106" spans="1:40" ht="15.75" thickBot="1" x14ac:dyDescent="0.3">
      <c r="P106" s="13">
        <f t="shared" si="22"/>
        <v>1.0128046819111443</v>
      </c>
      <c r="Q106" s="5">
        <f t="shared" si="23"/>
        <v>756.76149574547901</v>
      </c>
      <c r="R106" s="13">
        <f t="shared" si="24"/>
        <v>1.0093411251331053</v>
      </c>
      <c r="S106" s="14">
        <f t="shared" si="25"/>
        <v>762.73940443000834</v>
      </c>
      <c r="T106" s="5">
        <f t="shared" si="26"/>
        <v>1.0076055091849014</v>
      </c>
      <c r="U106" s="5">
        <f t="shared" si="27"/>
        <v>765.81372226304541</v>
      </c>
      <c r="V106" s="13">
        <f t="shared" si="28"/>
        <v>1.0130367762778654</v>
      </c>
      <c r="W106" s="14">
        <f t="shared" si="29"/>
        <v>762.00984347825283</v>
      </c>
      <c r="X106" s="13">
        <f t="shared" si="30"/>
        <v>1.0109056174767643</v>
      </c>
      <c r="Y106" s="14">
        <f t="shared" si="31"/>
        <v>766.13707799849226</v>
      </c>
      <c r="Z106" s="13">
        <f t="shared" si="32"/>
        <v>1.0084652673783354</v>
      </c>
      <c r="AA106" s="14">
        <f t="shared" si="46"/>
        <v>770.4197011356116</v>
      </c>
      <c r="AB106" s="5">
        <f t="shared" si="33"/>
        <v>1.0118594490439843</v>
      </c>
      <c r="AC106" s="14">
        <f t="shared" si="34"/>
        <v>778.54475591461267</v>
      </c>
      <c r="AD106" s="13">
        <f t="shared" si="35"/>
        <v>1.0097455845525398</v>
      </c>
      <c r="AE106" s="14">
        <f t="shared" si="36"/>
        <v>782.41374300695213</v>
      </c>
      <c r="AF106" s="13">
        <f t="shared" si="37"/>
        <v>1.0073196714919088</v>
      </c>
      <c r="AG106" s="14">
        <f t="shared" si="38"/>
        <v>786.65364553854283</v>
      </c>
      <c r="AI106" s="13">
        <f t="shared" si="39"/>
        <v>1.0569278835316158</v>
      </c>
      <c r="AJ106" s="14">
        <f t="shared" si="40"/>
        <v>760.91147312639691</v>
      </c>
      <c r="AK106" s="13">
        <f t="shared" si="41"/>
        <v>1.0569278835316158</v>
      </c>
      <c r="AL106" s="14">
        <f t="shared" si="42"/>
        <v>761.24337321358621</v>
      </c>
      <c r="AM106" s="13">
        <f t="shared" si="43"/>
        <v>1.0569278835316158</v>
      </c>
      <c r="AN106" s="14">
        <f t="shared" si="44"/>
        <v>761.24337321358621</v>
      </c>
    </row>
    <row r="107" spans="1:40" ht="15.75" thickBot="1" x14ac:dyDescent="0.3">
      <c r="A107" s="54" t="s">
        <v>133</v>
      </c>
      <c r="B107" s="75">
        <f>(334.4*R3)/1000</f>
        <v>173.88800000000001</v>
      </c>
      <c r="C107" s="77"/>
      <c r="D107" s="77"/>
      <c r="E107" s="77"/>
      <c r="F107" s="77"/>
      <c r="G107" s="77"/>
      <c r="H107" s="77"/>
      <c r="I107" s="77"/>
      <c r="J107" s="79"/>
      <c r="L107" s="75">
        <f>(334.4*R3)/1000</f>
        <v>173.88800000000001</v>
      </c>
      <c r="M107" s="77"/>
      <c r="N107" s="79"/>
      <c r="P107" s="13">
        <f t="shared" si="22"/>
        <v>1.0128046819111443</v>
      </c>
      <c r="Q107" s="5">
        <f t="shared" si="23"/>
        <v>756.76149574547901</v>
      </c>
      <c r="R107" s="13">
        <f t="shared" si="24"/>
        <v>1.0093411251331053</v>
      </c>
      <c r="S107" s="14">
        <f t="shared" si="25"/>
        <v>762.73940443000834</v>
      </c>
      <c r="T107" s="5">
        <f t="shared" si="26"/>
        <v>1.0076055091849014</v>
      </c>
      <c r="U107" s="5">
        <f t="shared" si="27"/>
        <v>765.81372226304541</v>
      </c>
      <c r="V107" s="13">
        <f t="shared" si="28"/>
        <v>1.0130367762778654</v>
      </c>
      <c r="W107" s="14">
        <f t="shared" si="29"/>
        <v>762.00984347825283</v>
      </c>
      <c r="X107" s="13">
        <f t="shared" si="30"/>
        <v>1.0109056174767643</v>
      </c>
      <c r="Y107" s="14">
        <f t="shared" si="31"/>
        <v>766.13707799849226</v>
      </c>
      <c r="Z107" s="13">
        <f t="shared" si="32"/>
        <v>1.0084652673783354</v>
      </c>
      <c r="AA107" s="14">
        <f t="shared" si="46"/>
        <v>770.4197011356116</v>
      </c>
      <c r="AB107" s="5">
        <f t="shared" si="33"/>
        <v>1.0118594490439843</v>
      </c>
      <c r="AC107" s="14">
        <f t="shared" si="34"/>
        <v>778.54475591461267</v>
      </c>
      <c r="AD107" s="13">
        <f t="shared" si="35"/>
        <v>1.0097455845525398</v>
      </c>
      <c r="AE107" s="14">
        <f t="shared" si="36"/>
        <v>782.41374300695213</v>
      </c>
      <c r="AF107" s="13">
        <f t="shared" si="37"/>
        <v>1.0073196714919088</v>
      </c>
      <c r="AG107" s="14">
        <f t="shared" si="38"/>
        <v>786.65364553854283</v>
      </c>
      <c r="AI107" s="13">
        <f t="shared" si="39"/>
        <v>1.0569278835316158</v>
      </c>
      <c r="AJ107" s="14">
        <f t="shared" si="40"/>
        <v>760.91147312639691</v>
      </c>
      <c r="AK107" s="13">
        <f t="shared" si="41"/>
        <v>1.0569278835316158</v>
      </c>
      <c r="AL107" s="14">
        <f t="shared" si="42"/>
        <v>761.24337321358621</v>
      </c>
      <c r="AM107" s="13">
        <f t="shared" si="43"/>
        <v>1.0569278835316158</v>
      </c>
      <c r="AN107" s="14">
        <f t="shared" si="44"/>
        <v>761.24337321358621</v>
      </c>
    </row>
    <row r="108" spans="1:40" x14ac:dyDescent="0.25">
      <c r="A108" s="50" t="s">
        <v>134</v>
      </c>
      <c r="B108" s="22">
        <f>($P$16*(1.16*S14^0.86))</f>
        <v>322.59889086540954</v>
      </c>
      <c r="C108" s="11">
        <f>($P$16*(1.16*V14^0.86))</f>
        <v>331.46761945567658</v>
      </c>
      <c r="D108" s="11">
        <f>($P$16*(1.16*Y14^0.86))</f>
        <v>335.9340013125443</v>
      </c>
      <c r="E108" s="22">
        <f>($P$16*(1.16*T14^0.86))</f>
        <v>322.00522277658405</v>
      </c>
      <c r="F108" s="11">
        <f>($P$16*(1.16*W14^0.86))</f>
        <v>327.46169152740907</v>
      </c>
      <c r="G108" s="12">
        <f>($P$16*(1.16*Z14^0.86))</f>
        <v>333.72409699597119</v>
      </c>
      <c r="H108" s="11">
        <f>($P$16*(1.16*U14^0.86))</f>
        <v>320.66237607722428</v>
      </c>
      <c r="I108" s="11">
        <f>($P$16*(1.16*X14^0.86))</f>
        <v>326.07164747339215</v>
      </c>
      <c r="J108" s="12">
        <f>($P$16*(1.16*AA14^0.86))</f>
        <v>332.29360168525551</v>
      </c>
      <c r="L108" s="105">
        <f>($R$8*(1.16*Q8^0.86))</f>
        <v>312.64042102173283</v>
      </c>
      <c r="M108" s="106"/>
      <c r="N108" s="107"/>
      <c r="P108" s="13">
        <f t="shared" si="22"/>
        <v>1.0128046819111443</v>
      </c>
      <c r="Q108" s="5">
        <f t="shared" si="23"/>
        <v>756.76149574547901</v>
      </c>
      <c r="R108" s="13">
        <f t="shared" si="24"/>
        <v>1.0093411251331053</v>
      </c>
      <c r="S108" s="14">
        <f t="shared" si="25"/>
        <v>762.73940443000834</v>
      </c>
      <c r="T108" s="5">
        <f t="shared" si="26"/>
        <v>1.0076055091849014</v>
      </c>
      <c r="U108" s="5">
        <f t="shared" si="27"/>
        <v>765.81372226304541</v>
      </c>
      <c r="V108" s="13">
        <f t="shared" si="28"/>
        <v>1.0130367762778654</v>
      </c>
      <c r="W108" s="14">
        <f t="shared" si="29"/>
        <v>762.00984347825283</v>
      </c>
      <c r="X108" s="13">
        <f t="shared" si="30"/>
        <v>1.0109056174767643</v>
      </c>
      <c r="Y108" s="14">
        <f t="shared" si="31"/>
        <v>766.13707799849226</v>
      </c>
      <c r="Z108" s="13">
        <f t="shared" si="32"/>
        <v>1.0084652673783354</v>
      </c>
      <c r="AA108" s="14">
        <f t="shared" si="46"/>
        <v>770.4197011356116</v>
      </c>
      <c r="AB108" s="5">
        <f t="shared" si="33"/>
        <v>1.0118594490439843</v>
      </c>
      <c r="AC108" s="14">
        <f t="shared" si="34"/>
        <v>778.54475591461267</v>
      </c>
      <c r="AD108" s="13">
        <f t="shared" si="35"/>
        <v>1.0097455845525398</v>
      </c>
      <c r="AE108" s="14">
        <f t="shared" si="36"/>
        <v>782.41374300695213</v>
      </c>
      <c r="AF108" s="13">
        <f t="shared" si="37"/>
        <v>1.0073196714919088</v>
      </c>
      <c r="AG108" s="14">
        <f t="shared" si="38"/>
        <v>786.65364553854283</v>
      </c>
      <c r="AI108" s="13">
        <f t="shared" si="39"/>
        <v>1.0569278835316158</v>
      </c>
      <c r="AJ108" s="14">
        <f t="shared" si="40"/>
        <v>760.91147312639691</v>
      </c>
      <c r="AK108" s="13">
        <f t="shared" si="41"/>
        <v>1.0569278835316158</v>
      </c>
      <c r="AL108" s="14">
        <f t="shared" si="42"/>
        <v>761.24337321358621</v>
      </c>
      <c r="AM108" s="13">
        <f t="shared" si="43"/>
        <v>1.0569278835316158</v>
      </c>
      <c r="AN108" s="14">
        <f t="shared" si="44"/>
        <v>761.24337321358621</v>
      </c>
    </row>
    <row r="109" spans="1:40" x14ac:dyDescent="0.25">
      <c r="A109" s="50" t="s">
        <v>135</v>
      </c>
      <c r="B109" s="13">
        <f>($B$107+B108)</f>
        <v>496.48689086540958</v>
      </c>
      <c r="C109" s="5">
        <f t="shared" ref="C109:J109" si="92">($B$107+C108)</f>
        <v>505.35561945567656</v>
      </c>
      <c r="D109" s="5">
        <f t="shared" si="92"/>
        <v>509.82200131254433</v>
      </c>
      <c r="E109" s="13">
        <f t="shared" si="92"/>
        <v>495.89322277658403</v>
      </c>
      <c r="F109" s="5">
        <f t="shared" si="92"/>
        <v>501.34969152740905</v>
      </c>
      <c r="G109" s="14">
        <f t="shared" si="92"/>
        <v>507.61209699597123</v>
      </c>
      <c r="H109" s="5">
        <f t="shared" si="92"/>
        <v>494.55037607722431</v>
      </c>
      <c r="I109" s="5">
        <f t="shared" si="92"/>
        <v>499.95964747339212</v>
      </c>
      <c r="J109" s="14">
        <f t="shared" si="92"/>
        <v>506.18160168525549</v>
      </c>
      <c r="L109" s="105">
        <f>(L107+L108)</f>
        <v>486.52842102173281</v>
      </c>
      <c r="M109" s="106"/>
      <c r="N109" s="107"/>
      <c r="P109" s="13">
        <f t="shared" si="22"/>
        <v>1.0128046819111443</v>
      </c>
      <c r="Q109" s="5">
        <f t="shared" si="23"/>
        <v>756.76149574547901</v>
      </c>
      <c r="R109" s="13">
        <f t="shared" si="24"/>
        <v>1.0093411251331053</v>
      </c>
      <c r="S109" s="14">
        <f t="shared" si="25"/>
        <v>762.73940443000834</v>
      </c>
      <c r="T109" s="5">
        <f t="shared" si="26"/>
        <v>1.0076055091849014</v>
      </c>
      <c r="U109" s="5">
        <f t="shared" si="27"/>
        <v>765.81372226304541</v>
      </c>
      <c r="V109" s="13">
        <f t="shared" si="28"/>
        <v>1.0130367762778654</v>
      </c>
      <c r="W109" s="14">
        <f t="shared" si="29"/>
        <v>762.00984347825283</v>
      </c>
      <c r="X109" s="13">
        <f t="shared" si="30"/>
        <v>1.0109056174767643</v>
      </c>
      <c r="Y109" s="14">
        <f t="shared" si="31"/>
        <v>766.13707799849226</v>
      </c>
      <c r="Z109" s="13">
        <f t="shared" si="32"/>
        <v>1.0084652673783354</v>
      </c>
      <c r="AA109" s="14">
        <f t="shared" si="46"/>
        <v>770.4197011356116</v>
      </c>
      <c r="AB109" s="5">
        <f t="shared" si="33"/>
        <v>1.0118594490439843</v>
      </c>
      <c r="AC109" s="14">
        <f t="shared" si="34"/>
        <v>778.54475591461267</v>
      </c>
      <c r="AD109" s="13">
        <f t="shared" si="35"/>
        <v>1.0097455845525398</v>
      </c>
      <c r="AE109" s="14">
        <f t="shared" si="36"/>
        <v>782.41374300695213</v>
      </c>
      <c r="AF109" s="13">
        <f t="shared" si="37"/>
        <v>1.0073196714919088</v>
      </c>
      <c r="AG109" s="14">
        <f t="shared" si="38"/>
        <v>786.65364553854283</v>
      </c>
      <c r="AI109" s="13">
        <f t="shared" si="39"/>
        <v>1.0569278835316158</v>
      </c>
      <c r="AJ109" s="14">
        <f t="shared" si="40"/>
        <v>760.91147312639691</v>
      </c>
      <c r="AK109" s="13">
        <f t="shared" si="41"/>
        <v>1.0569278835316158</v>
      </c>
      <c r="AL109" s="14">
        <f t="shared" si="42"/>
        <v>761.24337321358621</v>
      </c>
      <c r="AM109" s="13">
        <f t="shared" si="43"/>
        <v>1.0569278835316158</v>
      </c>
      <c r="AN109" s="14">
        <f t="shared" si="44"/>
        <v>761.24337321358621</v>
      </c>
    </row>
    <row r="110" spans="1:40" x14ac:dyDescent="0.25">
      <c r="A110" s="51" t="s">
        <v>136</v>
      </c>
      <c r="B110" s="28">
        <f>$B$107/$AA$45%</f>
        <v>260.31137724550899</v>
      </c>
      <c r="C110" s="29">
        <f t="shared" ref="C110:I110" si="93">$B$107/$AA$45%</f>
        <v>260.31137724550899</v>
      </c>
      <c r="D110" s="29">
        <f t="shared" si="93"/>
        <v>260.31137724550899</v>
      </c>
      <c r="E110" s="28">
        <f t="shared" si="93"/>
        <v>260.31137724550899</v>
      </c>
      <c r="F110" s="29">
        <f t="shared" si="93"/>
        <v>260.31137724550899</v>
      </c>
      <c r="G110" s="30">
        <f t="shared" si="93"/>
        <v>260.31137724550899</v>
      </c>
      <c r="H110" s="29">
        <f t="shared" si="93"/>
        <v>260.31137724550899</v>
      </c>
      <c r="I110" s="29">
        <f t="shared" si="93"/>
        <v>260.31137724550899</v>
      </c>
      <c r="J110" s="30">
        <f>$B$107/$AA$45%</f>
        <v>260.31137724550899</v>
      </c>
      <c r="L110" s="102">
        <f>(L107/AA45%)</f>
        <v>260.31137724550899</v>
      </c>
      <c r="M110" s="103"/>
      <c r="N110" s="104"/>
      <c r="P110" s="13">
        <f t="shared" si="22"/>
        <v>1.0128046819111443</v>
      </c>
      <c r="Q110" s="5">
        <f t="shared" si="23"/>
        <v>756.76149574547901</v>
      </c>
      <c r="R110" s="13">
        <f t="shared" si="24"/>
        <v>1.0093411251331053</v>
      </c>
      <c r="S110" s="14">
        <f t="shared" si="25"/>
        <v>762.73940443000834</v>
      </c>
      <c r="T110" s="5">
        <f t="shared" si="26"/>
        <v>1.0076055091849014</v>
      </c>
      <c r="U110" s="5">
        <f t="shared" si="27"/>
        <v>765.81372226304541</v>
      </c>
      <c r="V110" s="13">
        <f t="shared" si="28"/>
        <v>1.0130367762778654</v>
      </c>
      <c r="W110" s="14">
        <f t="shared" si="29"/>
        <v>762.00984347825283</v>
      </c>
      <c r="X110" s="13">
        <f t="shared" si="30"/>
        <v>1.0109056174767643</v>
      </c>
      <c r="Y110" s="14">
        <f t="shared" si="31"/>
        <v>766.13707799849226</v>
      </c>
      <c r="Z110" s="13">
        <f t="shared" si="32"/>
        <v>1.0084652673783354</v>
      </c>
      <c r="AA110" s="14">
        <f t="shared" si="46"/>
        <v>770.4197011356116</v>
      </c>
      <c r="AB110" s="5">
        <f t="shared" si="33"/>
        <v>1.0118594490439843</v>
      </c>
      <c r="AC110" s="14">
        <f t="shared" si="34"/>
        <v>778.54475591461267</v>
      </c>
      <c r="AD110" s="13">
        <f t="shared" si="35"/>
        <v>1.0097455845525398</v>
      </c>
      <c r="AE110" s="14">
        <f t="shared" si="36"/>
        <v>782.41374300695213</v>
      </c>
      <c r="AF110" s="13">
        <f t="shared" si="37"/>
        <v>1.0073196714919088</v>
      </c>
      <c r="AG110" s="14">
        <f t="shared" si="38"/>
        <v>786.65364553854283</v>
      </c>
      <c r="AI110" s="13">
        <f t="shared" si="39"/>
        <v>1.0569278835316158</v>
      </c>
      <c r="AJ110" s="14">
        <f t="shared" si="40"/>
        <v>760.91147312639691</v>
      </c>
      <c r="AK110" s="13">
        <f t="shared" si="41"/>
        <v>1.0569278835316158</v>
      </c>
      <c r="AL110" s="14">
        <f t="shared" si="42"/>
        <v>761.24337321358621</v>
      </c>
      <c r="AM110" s="13">
        <f t="shared" si="43"/>
        <v>1.0569278835316158</v>
      </c>
      <c r="AN110" s="14">
        <f t="shared" si="44"/>
        <v>761.24337321358621</v>
      </c>
    </row>
    <row r="111" spans="1:40" x14ac:dyDescent="0.25">
      <c r="A111" s="51" t="s">
        <v>137</v>
      </c>
      <c r="B111" s="28">
        <f>(B108/$AA$45%)</f>
        <v>482.93247135540355</v>
      </c>
      <c r="C111" s="29">
        <f t="shared" ref="C111:J111" si="94">(C108/$AA$45%)</f>
        <v>496.20901116119256</v>
      </c>
      <c r="D111" s="29">
        <f t="shared" si="94"/>
        <v>502.89521154572503</v>
      </c>
      <c r="E111" s="28">
        <f t="shared" si="94"/>
        <v>482.04374667153309</v>
      </c>
      <c r="F111" s="29">
        <f t="shared" si="94"/>
        <v>490.21211306498367</v>
      </c>
      <c r="G111" s="30">
        <f t="shared" si="94"/>
        <v>499.58697155085514</v>
      </c>
      <c r="H111" s="29">
        <f t="shared" si="94"/>
        <v>480.03349712159331</v>
      </c>
      <c r="I111" s="29">
        <f t="shared" si="94"/>
        <v>488.13120879250329</v>
      </c>
      <c r="J111" s="30">
        <f t="shared" si="94"/>
        <v>497.44551150487359</v>
      </c>
      <c r="L111" s="102">
        <f>(L108/AA45%)</f>
        <v>468.02458236786356</v>
      </c>
      <c r="M111" s="103"/>
      <c r="N111" s="104"/>
      <c r="P111" s="13">
        <f t="shared" si="22"/>
        <v>1.0128046819111443</v>
      </c>
      <c r="Q111" s="5">
        <f t="shared" si="23"/>
        <v>756.76149574547901</v>
      </c>
      <c r="R111" s="13">
        <f t="shared" si="24"/>
        <v>1.0093411251331053</v>
      </c>
      <c r="S111" s="14">
        <f t="shared" si="25"/>
        <v>762.73940443000834</v>
      </c>
      <c r="T111" s="5">
        <f t="shared" si="26"/>
        <v>1.0076055091849014</v>
      </c>
      <c r="U111" s="5">
        <f t="shared" si="27"/>
        <v>765.81372226304541</v>
      </c>
      <c r="V111" s="13">
        <f t="shared" si="28"/>
        <v>1.0130367762778654</v>
      </c>
      <c r="W111" s="14">
        <f t="shared" si="29"/>
        <v>762.00984347825283</v>
      </c>
      <c r="X111" s="13">
        <f t="shared" si="30"/>
        <v>1.0109056174767643</v>
      </c>
      <c r="Y111" s="14">
        <f t="shared" si="31"/>
        <v>766.13707799849226</v>
      </c>
      <c r="Z111" s="13">
        <f t="shared" si="32"/>
        <v>1.0084652673783354</v>
      </c>
      <c r="AA111" s="14">
        <f t="shared" si="46"/>
        <v>770.4197011356116</v>
      </c>
      <c r="AB111" s="5">
        <f t="shared" si="33"/>
        <v>1.0118594490439843</v>
      </c>
      <c r="AC111" s="14">
        <f t="shared" si="34"/>
        <v>778.54475591461267</v>
      </c>
      <c r="AD111" s="13">
        <f t="shared" si="35"/>
        <v>1.0097455845525398</v>
      </c>
      <c r="AE111" s="14">
        <f t="shared" si="36"/>
        <v>782.41374300695213</v>
      </c>
      <c r="AF111" s="13">
        <f t="shared" si="37"/>
        <v>1.0073196714919088</v>
      </c>
      <c r="AG111" s="14">
        <f t="shared" si="38"/>
        <v>786.65364553854283</v>
      </c>
      <c r="AI111" s="13">
        <f t="shared" si="39"/>
        <v>1.0569278835316158</v>
      </c>
      <c r="AJ111" s="14">
        <f t="shared" si="40"/>
        <v>760.91147312639691</v>
      </c>
      <c r="AK111" s="13">
        <f t="shared" si="41"/>
        <v>1.0569278835316158</v>
      </c>
      <c r="AL111" s="14">
        <f t="shared" si="42"/>
        <v>761.24337321358621</v>
      </c>
      <c r="AM111" s="13">
        <f t="shared" si="43"/>
        <v>1.0569278835316158</v>
      </c>
      <c r="AN111" s="14">
        <f t="shared" si="44"/>
        <v>761.24337321358621</v>
      </c>
    </row>
    <row r="112" spans="1:40" ht="15.75" thickBot="1" x14ac:dyDescent="0.3">
      <c r="A112" s="53" t="s">
        <v>138</v>
      </c>
      <c r="B112" s="24">
        <f>SUM(B110:B111)</f>
        <v>743.24384860091254</v>
      </c>
      <c r="C112" s="25">
        <f t="shared" ref="C112:J112" si="95">SUM(C110:C111)</f>
        <v>756.52038840670161</v>
      </c>
      <c r="D112" s="25">
        <f t="shared" si="95"/>
        <v>763.20658879123403</v>
      </c>
      <c r="E112" s="24">
        <f t="shared" si="95"/>
        <v>742.35512391704208</v>
      </c>
      <c r="F112" s="25">
        <f t="shared" si="95"/>
        <v>750.52349031049266</v>
      </c>
      <c r="G112" s="26">
        <f t="shared" si="95"/>
        <v>759.89834879636419</v>
      </c>
      <c r="H112" s="25">
        <f t="shared" si="95"/>
        <v>740.34487436710231</v>
      </c>
      <c r="I112" s="25">
        <f t="shared" si="95"/>
        <v>748.44258603801222</v>
      </c>
      <c r="J112" s="26">
        <f t="shared" si="95"/>
        <v>757.75688875038259</v>
      </c>
      <c r="L112" s="99">
        <f>SUM(L110:L111)</f>
        <v>728.33595961337255</v>
      </c>
      <c r="M112" s="100"/>
      <c r="N112" s="101"/>
      <c r="P112" s="13">
        <f t="shared" si="22"/>
        <v>1.0128046819111443</v>
      </c>
      <c r="Q112" s="5">
        <f t="shared" si="23"/>
        <v>756.76149574547901</v>
      </c>
      <c r="R112" s="13">
        <f t="shared" si="24"/>
        <v>1.0093411251331053</v>
      </c>
      <c r="S112" s="14">
        <f t="shared" si="25"/>
        <v>762.73940443000834</v>
      </c>
      <c r="T112" s="5">
        <f t="shared" si="26"/>
        <v>1.0076055091849014</v>
      </c>
      <c r="U112" s="5">
        <f t="shared" si="27"/>
        <v>765.81372226304541</v>
      </c>
      <c r="V112" s="13">
        <f t="shared" si="28"/>
        <v>1.0130367762778654</v>
      </c>
      <c r="W112" s="14">
        <f t="shared" si="29"/>
        <v>762.00984347825283</v>
      </c>
      <c r="X112" s="13">
        <f t="shared" si="30"/>
        <v>1.0109056174767643</v>
      </c>
      <c r="Y112" s="14">
        <f t="shared" si="31"/>
        <v>766.13707799849226</v>
      </c>
      <c r="Z112" s="13">
        <f t="shared" si="32"/>
        <v>1.0084652673783354</v>
      </c>
      <c r="AA112" s="14">
        <f t="shared" si="46"/>
        <v>770.4197011356116</v>
      </c>
      <c r="AB112" s="5">
        <f t="shared" si="33"/>
        <v>1.0118594490439843</v>
      </c>
      <c r="AC112" s="14">
        <f t="shared" si="34"/>
        <v>778.54475591461267</v>
      </c>
      <c r="AD112" s="13">
        <f t="shared" si="35"/>
        <v>1.0097455845525398</v>
      </c>
      <c r="AE112" s="14">
        <f t="shared" si="36"/>
        <v>782.41374300695213</v>
      </c>
      <c r="AF112" s="13">
        <f t="shared" si="37"/>
        <v>1.0073196714919088</v>
      </c>
      <c r="AG112" s="14">
        <f t="shared" si="38"/>
        <v>786.65364553854283</v>
      </c>
      <c r="AI112" s="13">
        <f t="shared" si="39"/>
        <v>1.0569278835316158</v>
      </c>
      <c r="AJ112" s="14">
        <f t="shared" si="40"/>
        <v>760.91147312639691</v>
      </c>
      <c r="AK112" s="13">
        <f t="shared" si="41"/>
        <v>1.0569278835316158</v>
      </c>
      <c r="AL112" s="14">
        <f t="shared" si="42"/>
        <v>761.24337321358621</v>
      </c>
      <c r="AM112" s="13">
        <f t="shared" si="43"/>
        <v>1.0569278835316158</v>
      </c>
      <c r="AN112" s="14">
        <f t="shared" si="44"/>
        <v>761.24337321358621</v>
      </c>
    </row>
    <row r="113" spans="1:40" ht="16.5" thickBot="1" x14ac:dyDescent="0.3">
      <c r="L113" s="43"/>
      <c r="P113" s="13">
        <f t="shared" si="22"/>
        <v>1.0128046819111443</v>
      </c>
      <c r="Q113" s="5">
        <f t="shared" si="23"/>
        <v>756.76149574547901</v>
      </c>
      <c r="R113" s="13">
        <f t="shared" si="24"/>
        <v>1.0093411251331053</v>
      </c>
      <c r="S113" s="14">
        <f t="shared" si="25"/>
        <v>762.73940443000834</v>
      </c>
      <c r="T113" s="5">
        <f t="shared" si="26"/>
        <v>1.0076055091849014</v>
      </c>
      <c r="U113" s="5">
        <f t="shared" si="27"/>
        <v>765.81372226304541</v>
      </c>
      <c r="V113" s="13">
        <f t="shared" si="28"/>
        <v>1.0130367762778654</v>
      </c>
      <c r="W113" s="14">
        <f t="shared" si="29"/>
        <v>762.00984347825283</v>
      </c>
      <c r="X113" s="13">
        <f t="shared" si="30"/>
        <v>1.0109056174767643</v>
      </c>
      <c r="Y113" s="14">
        <f t="shared" si="31"/>
        <v>766.13707799849226</v>
      </c>
      <c r="Z113" s="13">
        <f t="shared" si="32"/>
        <v>1.0084652673783354</v>
      </c>
      <c r="AA113" s="14">
        <f t="shared" si="46"/>
        <v>770.4197011356116</v>
      </c>
      <c r="AB113" s="5">
        <f t="shared" si="33"/>
        <v>1.0118594490439843</v>
      </c>
      <c r="AC113" s="14">
        <f t="shared" si="34"/>
        <v>778.54475591461267</v>
      </c>
      <c r="AD113" s="13">
        <f t="shared" si="35"/>
        <v>1.0097455845525398</v>
      </c>
      <c r="AE113" s="14">
        <f t="shared" si="36"/>
        <v>782.41374300695213</v>
      </c>
      <c r="AF113" s="13">
        <f t="shared" si="37"/>
        <v>1.0073196714919088</v>
      </c>
      <c r="AG113" s="14">
        <f t="shared" si="38"/>
        <v>786.65364553854283</v>
      </c>
      <c r="AI113" s="13">
        <f t="shared" si="39"/>
        <v>1.0569278835316158</v>
      </c>
      <c r="AJ113" s="14">
        <f t="shared" si="40"/>
        <v>760.91147312639691</v>
      </c>
      <c r="AK113" s="13">
        <f t="shared" si="41"/>
        <v>1.0569278835316158</v>
      </c>
      <c r="AL113" s="14">
        <f t="shared" si="42"/>
        <v>761.24337321358621</v>
      </c>
      <c r="AM113" s="13">
        <f t="shared" si="43"/>
        <v>1.0569278835316158</v>
      </c>
      <c r="AN113" s="14">
        <f t="shared" si="44"/>
        <v>761.24337321358621</v>
      </c>
    </row>
    <row r="114" spans="1:40" ht="15.75" thickBot="1" x14ac:dyDescent="0.3">
      <c r="A114" s="67" t="s">
        <v>139</v>
      </c>
      <c r="B114" s="72">
        <f>(0.5*B6)</f>
        <v>5.4033241823717955</v>
      </c>
      <c r="C114" s="73"/>
      <c r="D114" s="74"/>
      <c r="E114" s="73">
        <f>(0.5*E6)</f>
        <v>5.4123032336486894</v>
      </c>
      <c r="F114" s="73"/>
      <c r="G114" s="73"/>
      <c r="H114" s="72">
        <f>(0.5*H6)</f>
        <v>5.4531766873278613</v>
      </c>
      <c r="I114" s="73"/>
      <c r="J114" s="74"/>
      <c r="L114" s="64">
        <f>(0.5*L6)</f>
        <v>5.4033241823717955</v>
      </c>
      <c r="M114" s="65">
        <f t="shared" ref="M114" si="96">(0.5*M6)</f>
        <v>5.4123032336486894</v>
      </c>
      <c r="N114" s="66">
        <f>(0.5*N6)</f>
        <v>5.4531766873278613</v>
      </c>
      <c r="P114" s="13">
        <f t="shared" si="22"/>
        <v>1.0128046819111443</v>
      </c>
      <c r="Q114" s="5">
        <f t="shared" si="23"/>
        <v>756.76149574547901</v>
      </c>
      <c r="R114" s="13">
        <f t="shared" si="24"/>
        <v>1.0093411251331053</v>
      </c>
      <c r="S114" s="14">
        <f t="shared" si="25"/>
        <v>762.73940443000834</v>
      </c>
      <c r="T114" s="5">
        <f t="shared" si="26"/>
        <v>1.0076055091849014</v>
      </c>
      <c r="U114" s="5">
        <f t="shared" si="27"/>
        <v>765.81372226304541</v>
      </c>
      <c r="V114" s="13">
        <f t="shared" si="28"/>
        <v>1.0130367762778654</v>
      </c>
      <c r="W114" s="14">
        <f t="shared" si="29"/>
        <v>762.00984347825283</v>
      </c>
      <c r="X114" s="13">
        <f t="shared" si="30"/>
        <v>1.0109056174767643</v>
      </c>
      <c r="Y114" s="14">
        <f t="shared" si="31"/>
        <v>766.13707799849226</v>
      </c>
      <c r="Z114" s="13">
        <f t="shared" si="32"/>
        <v>1.0084652673783354</v>
      </c>
      <c r="AA114" s="14">
        <f t="shared" si="46"/>
        <v>770.4197011356116</v>
      </c>
      <c r="AB114" s="5">
        <f t="shared" si="33"/>
        <v>1.0118594490439843</v>
      </c>
      <c r="AC114" s="14">
        <f t="shared" si="34"/>
        <v>778.54475591461267</v>
      </c>
      <c r="AD114" s="13">
        <f t="shared" si="35"/>
        <v>1.0097455845525398</v>
      </c>
      <c r="AE114" s="14">
        <f t="shared" si="36"/>
        <v>782.41374300695213</v>
      </c>
      <c r="AF114" s="13">
        <f t="shared" si="37"/>
        <v>1.0073196714919088</v>
      </c>
      <c r="AG114" s="14">
        <f t="shared" si="38"/>
        <v>786.65364553854283</v>
      </c>
      <c r="AI114" s="13">
        <f t="shared" si="39"/>
        <v>1.0569278835316158</v>
      </c>
      <c r="AJ114" s="14">
        <f t="shared" si="40"/>
        <v>760.91147312639691</v>
      </c>
      <c r="AK114" s="13">
        <f t="shared" si="41"/>
        <v>1.0569278835316158</v>
      </c>
      <c r="AL114" s="14">
        <f t="shared" si="42"/>
        <v>761.24337321358621</v>
      </c>
      <c r="AM114" s="13">
        <f t="shared" si="43"/>
        <v>1.0569278835316158</v>
      </c>
      <c r="AN114" s="14">
        <f t="shared" si="44"/>
        <v>761.24337321358621</v>
      </c>
    </row>
    <row r="115" spans="1:40" ht="15.75" thickBot="1" x14ac:dyDescent="0.3">
      <c r="P115" s="13">
        <f t="shared" si="22"/>
        <v>1.0128046819111443</v>
      </c>
      <c r="Q115" s="5">
        <f t="shared" si="23"/>
        <v>756.76149574547901</v>
      </c>
      <c r="R115" s="13">
        <f t="shared" si="24"/>
        <v>1.0093411251331053</v>
      </c>
      <c r="S115" s="14">
        <f t="shared" si="25"/>
        <v>762.73940443000834</v>
      </c>
      <c r="T115" s="5">
        <f t="shared" si="26"/>
        <v>1.0076055091849014</v>
      </c>
      <c r="U115" s="5">
        <f t="shared" si="27"/>
        <v>765.81372226304541</v>
      </c>
      <c r="V115" s="13">
        <f t="shared" si="28"/>
        <v>1.0130367762778654</v>
      </c>
      <c r="W115" s="14">
        <f t="shared" si="29"/>
        <v>762.00984347825283</v>
      </c>
      <c r="X115" s="13">
        <f t="shared" si="30"/>
        <v>1.0109056174767643</v>
      </c>
      <c r="Y115" s="14">
        <f t="shared" si="31"/>
        <v>766.13707799849226</v>
      </c>
      <c r="Z115" s="13">
        <f t="shared" si="32"/>
        <v>1.0084652673783354</v>
      </c>
      <c r="AA115" s="14">
        <f t="shared" si="46"/>
        <v>770.4197011356116</v>
      </c>
      <c r="AB115" s="5">
        <f t="shared" si="33"/>
        <v>1.0118594490439843</v>
      </c>
      <c r="AC115" s="14">
        <f t="shared" si="34"/>
        <v>778.54475591461267</v>
      </c>
      <c r="AD115" s="13">
        <f t="shared" si="35"/>
        <v>1.0097455845525398</v>
      </c>
      <c r="AE115" s="14">
        <f t="shared" si="36"/>
        <v>782.41374300695213</v>
      </c>
      <c r="AF115" s="13">
        <f t="shared" si="37"/>
        <v>1.0073196714919088</v>
      </c>
      <c r="AG115" s="14">
        <f t="shared" si="38"/>
        <v>786.65364553854283</v>
      </c>
      <c r="AI115" s="13">
        <f t="shared" si="39"/>
        <v>1.0569278835316158</v>
      </c>
      <c r="AJ115" s="14">
        <f t="shared" si="40"/>
        <v>760.91147312639691</v>
      </c>
      <c r="AK115" s="13">
        <f t="shared" si="41"/>
        <v>1.0569278835316158</v>
      </c>
      <c r="AL115" s="14">
        <f t="shared" si="42"/>
        <v>761.24337321358621</v>
      </c>
      <c r="AM115" s="13">
        <f t="shared" si="43"/>
        <v>1.0569278835316158</v>
      </c>
      <c r="AN115" s="14">
        <f t="shared" si="44"/>
        <v>761.24337321358621</v>
      </c>
    </row>
    <row r="116" spans="1:40" ht="15.75" thickBot="1" x14ac:dyDescent="0.3">
      <c r="A116" s="67" t="s">
        <v>140</v>
      </c>
      <c r="B116" s="72">
        <f>(B6*25%)</f>
        <v>2.7016620911858977</v>
      </c>
      <c r="C116" s="73"/>
      <c r="D116" s="74"/>
      <c r="E116" s="72">
        <f>(E6*25%)</f>
        <v>2.7061516168243447</v>
      </c>
      <c r="F116" s="73"/>
      <c r="G116" s="74"/>
      <c r="H116" s="72">
        <f>(H6*25%)</f>
        <v>2.7265883436639307</v>
      </c>
      <c r="I116" s="73"/>
      <c r="J116" s="74"/>
      <c r="L116" s="64">
        <f>(L6*25%)</f>
        <v>2.7016620911858977</v>
      </c>
      <c r="M116" s="65">
        <f t="shared" ref="M116:N116" si="97">(M6*25%)</f>
        <v>2.7061516168243447</v>
      </c>
      <c r="N116" s="66">
        <f t="shared" si="97"/>
        <v>2.7265883436639307</v>
      </c>
      <c r="P116" s="13">
        <f t="shared" ref="P116:P150" si="98">(P115+($B$21-(P115*0.64))/0.8)/1000</f>
        <v>1.0128046819111443</v>
      </c>
      <c r="Q116" s="5">
        <f t="shared" ref="Q116:Q149" si="99">(-53.07+(304.9*P116)+(90.8*$B$14)-(3.13*$B$14^2))</f>
        <v>756.76149574547901</v>
      </c>
      <c r="R116" s="13">
        <f t="shared" ref="R116:R150" si="100">(R115+($C$21-(P115*0.64))/0.8)/1000</f>
        <v>1.0093411251331053</v>
      </c>
      <c r="S116" s="14">
        <f t="shared" ref="S116:S150" si="101">(-53.07+(304.9*R116)+(90.8*$C$14)-(3.13*$C$14^2))</f>
        <v>762.73940443000834</v>
      </c>
      <c r="T116" s="5">
        <f t="shared" ref="T116:T150" si="102">(T115+($D$21-(T115*0.64))/0.8)/1000</f>
        <v>1.0076055091849014</v>
      </c>
      <c r="U116" s="5">
        <f t="shared" ref="U116:U150" si="103">(-53.07+(304.9*T116)+(90.8*$D$14)-(3.13*$D$14^2))</f>
        <v>765.81372226304541</v>
      </c>
      <c r="V116" s="13">
        <f t="shared" ref="V116:V150" si="104">(V115+($E$21-(V115*0.64))/0.8)/1000</f>
        <v>1.0130367762778654</v>
      </c>
      <c r="W116" s="14">
        <f t="shared" ref="W116:W150" si="105">(-53.07+(304.9*V116)+(90.8*$E$14)-(3.13*$E$14^2))</f>
        <v>762.00984347825283</v>
      </c>
      <c r="X116" s="13">
        <f t="shared" ref="X116:X150" si="106">(X115+($F$21-(X115*0.64))/0.8)/1000</f>
        <v>1.0109056174767643</v>
      </c>
      <c r="Y116" s="14">
        <f t="shared" ref="Y116:Y150" si="107">(-53.07+(304.9*X116)+(90.8*$F$14)-(3.13*$F$14^2))</f>
        <v>766.13707799849226</v>
      </c>
      <c r="Z116" s="13">
        <f t="shared" ref="Z116:Z150" si="108">(Z115+($G$21-(Z115*0.64))/0.8)/1000</f>
        <v>1.0084652673783354</v>
      </c>
      <c r="AA116" s="14">
        <f t="shared" ref="AA116:AA150" si="109">(-53.07+(304.9*Z116)+(90.8*$G$14)-(3.13*$G$14^2))</f>
        <v>770.4197011356116</v>
      </c>
      <c r="AB116" s="5">
        <f t="shared" ref="AB116:AB150" si="110">(AB115+($H$21-(AB115*0.64))/0.8)/1000</f>
        <v>1.0118594490439843</v>
      </c>
      <c r="AC116" s="14">
        <f t="shared" ref="AC116:AC150" si="111">(-53.07+(304.9*AB116)+(90.8*$H$14)-(3.13*$H$14^2))</f>
        <v>778.54475591461267</v>
      </c>
      <c r="AD116" s="13">
        <f t="shared" ref="AD116:AD150" si="112">(AD115+($I$21-(AD115*0.64))/0.8)/1000</f>
        <v>1.0097455845525398</v>
      </c>
      <c r="AE116" s="14">
        <f t="shared" ref="AE116:AE150" si="113">(-53.07+(304.9*AD116)+(90.8*$I$14)-(3.13*$I$14^2))</f>
        <v>782.41374300695213</v>
      </c>
      <c r="AF116" s="13">
        <f t="shared" ref="AF116:AF150" si="114">(AF115+($J$21-(AF115*0.64))/0.8)/1000</f>
        <v>1.0073196714919088</v>
      </c>
      <c r="AG116" s="14">
        <f t="shared" ref="AG116:AG150" si="115">(-53.07+(304.9*AF116)+(90.8*$J$14)-(3.13*$J$14^2))</f>
        <v>786.65364553854283</v>
      </c>
      <c r="AI116" s="13">
        <f t="shared" ref="AI116:AI150" si="116">(AI115+($L$21-(AI115*0.64))/0.8)/1000</f>
        <v>1.0569278835316158</v>
      </c>
      <c r="AJ116" s="14">
        <f t="shared" ref="AJ116:AJ150" si="117">(-53.07+(304.9*AI116)+(90.8*$L$14)-(3.13*$L$14^2))</f>
        <v>760.91147312639691</v>
      </c>
      <c r="AK116" s="13">
        <f t="shared" ref="AK116:AK150" si="118">(AK115+($M$21-(AK115*0.64))/0.8)/1000</f>
        <v>1.0569278835316158</v>
      </c>
      <c r="AL116" s="14">
        <f t="shared" ref="AL116:AL150" si="119">(-53.07+(304.9*AK116)+(90.8*$M$14)-(3.13*$M$14^2))</f>
        <v>761.24337321358621</v>
      </c>
      <c r="AM116" s="13">
        <f t="shared" ref="AM116:AM150" si="120">(AM115+($N$21-(AM115*0.64))/0.8)/1000</f>
        <v>1.0569278835316158</v>
      </c>
      <c r="AN116" s="14">
        <f t="shared" ref="AN116:AN150" si="121">(-53.07+(304.9*AM116)+(90.8*$M$14)-(3.13*$M$14^2))</f>
        <v>761.24337321358621</v>
      </c>
    </row>
    <row r="117" spans="1:40" ht="15.75" thickBot="1" x14ac:dyDescent="0.3">
      <c r="P117" s="13">
        <f t="shared" si="98"/>
        <v>1.0128046819111443</v>
      </c>
      <c r="Q117" s="5">
        <f t="shared" si="99"/>
        <v>756.76149574547901</v>
      </c>
      <c r="R117" s="13">
        <f t="shared" si="100"/>
        <v>1.0093411251331053</v>
      </c>
      <c r="S117" s="14">
        <f t="shared" si="101"/>
        <v>762.73940443000834</v>
      </c>
      <c r="T117" s="5">
        <f t="shared" si="102"/>
        <v>1.0076055091849014</v>
      </c>
      <c r="U117" s="5">
        <f t="shared" si="103"/>
        <v>765.81372226304541</v>
      </c>
      <c r="V117" s="13">
        <f t="shared" si="104"/>
        <v>1.0130367762778654</v>
      </c>
      <c r="W117" s="14">
        <f t="shared" si="105"/>
        <v>762.00984347825283</v>
      </c>
      <c r="X117" s="13">
        <f t="shared" si="106"/>
        <v>1.0109056174767643</v>
      </c>
      <c r="Y117" s="14">
        <f t="shared" si="107"/>
        <v>766.13707799849226</v>
      </c>
      <c r="Z117" s="13">
        <f t="shared" si="108"/>
        <v>1.0084652673783354</v>
      </c>
      <c r="AA117" s="14">
        <f t="shared" si="109"/>
        <v>770.4197011356116</v>
      </c>
      <c r="AB117" s="5">
        <f t="shared" si="110"/>
        <v>1.0118594490439843</v>
      </c>
      <c r="AC117" s="14">
        <f t="shared" si="111"/>
        <v>778.54475591461267</v>
      </c>
      <c r="AD117" s="13">
        <f t="shared" si="112"/>
        <v>1.0097455845525398</v>
      </c>
      <c r="AE117" s="14">
        <f t="shared" si="113"/>
        <v>782.41374300695213</v>
      </c>
      <c r="AF117" s="13">
        <f t="shared" si="114"/>
        <v>1.0073196714919088</v>
      </c>
      <c r="AG117" s="14">
        <f t="shared" si="115"/>
        <v>786.65364553854283</v>
      </c>
      <c r="AI117" s="13">
        <f t="shared" si="116"/>
        <v>1.0569278835316158</v>
      </c>
      <c r="AJ117" s="14">
        <f t="shared" si="117"/>
        <v>760.91147312639691</v>
      </c>
      <c r="AK117" s="13">
        <f t="shared" si="118"/>
        <v>1.0569278835316158</v>
      </c>
      <c r="AL117" s="14">
        <f t="shared" si="119"/>
        <v>761.24337321358621</v>
      </c>
      <c r="AM117" s="13">
        <f t="shared" si="120"/>
        <v>1.0569278835316158</v>
      </c>
      <c r="AN117" s="14">
        <f t="shared" si="121"/>
        <v>761.24337321358621</v>
      </c>
    </row>
    <row r="118" spans="1:40" ht="15.75" thickBot="1" x14ac:dyDescent="0.3">
      <c r="A118" s="67" t="s">
        <v>141</v>
      </c>
      <c r="B118" s="72">
        <f>(B6*5%)</f>
        <v>0.54033241823717959</v>
      </c>
      <c r="C118" s="73"/>
      <c r="D118" s="74"/>
      <c r="E118" s="72">
        <f>(E6*5%)</f>
        <v>0.54123032336486898</v>
      </c>
      <c r="F118" s="73"/>
      <c r="G118" s="74"/>
      <c r="H118" s="72">
        <f>(H6*5%)</f>
        <v>0.5453176687327862</v>
      </c>
      <c r="I118" s="73"/>
      <c r="J118" s="74"/>
      <c r="L118" s="64">
        <f>(L6*5%)</f>
        <v>0.54033241823717959</v>
      </c>
      <c r="M118" s="65">
        <f t="shared" ref="M118:N118" si="122">(M6*5%)</f>
        <v>0.54123032336486898</v>
      </c>
      <c r="N118" s="66">
        <f t="shared" si="122"/>
        <v>0.5453176687327862</v>
      </c>
      <c r="P118" s="13">
        <f t="shared" si="98"/>
        <v>1.0128046819111443</v>
      </c>
      <c r="Q118" s="5">
        <f t="shared" si="99"/>
        <v>756.76149574547901</v>
      </c>
      <c r="R118" s="13">
        <f t="shared" si="100"/>
        <v>1.0093411251331053</v>
      </c>
      <c r="S118" s="14">
        <f t="shared" si="101"/>
        <v>762.73940443000834</v>
      </c>
      <c r="T118" s="5">
        <f t="shared" si="102"/>
        <v>1.0076055091849014</v>
      </c>
      <c r="U118" s="5">
        <f t="shared" si="103"/>
        <v>765.81372226304541</v>
      </c>
      <c r="V118" s="13">
        <f t="shared" si="104"/>
        <v>1.0130367762778654</v>
      </c>
      <c r="W118" s="14">
        <f t="shared" si="105"/>
        <v>762.00984347825283</v>
      </c>
      <c r="X118" s="13">
        <f t="shared" si="106"/>
        <v>1.0109056174767643</v>
      </c>
      <c r="Y118" s="14">
        <f t="shared" si="107"/>
        <v>766.13707799849226</v>
      </c>
      <c r="Z118" s="13">
        <f t="shared" si="108"/>
        <v>1.0084652673783354</v>
      </c>
      <c r="AA118" s="14">
        <f t="shared" si="109"/>
        <v>770.4197011356116</v>
      </c>
      <c r="AB118" s="5">
        <f t="shared" si="110"/>
        <v>1.0118594490439843</v>
      </c>
      <c r="AC118" s="14">
        <f t="shared" si="111"/>
        <v>778.54475591461267</v>
      </c>
      <c r="AD118" s="13">
        <f t="shared" si="112"/>
        <v>1.0097455845525398</v>
      </c>
      <c r="AE118" s="14">
        <f t="shared" si="113"/>
        <v>782.41374300695213</v>
      </c>
      <c r="AF118" s="13">
        <f t="shared" si="114"/>
        <v>1.0073196714919088</v>
      </c>
      <c r="AG118" s="14">
        <f t="shared" si="115"/>
        <v>786.65364553854283</v>
      </c>
      <c r="AI118" s="13">
        <f t="shared" si="116"/>
        <v>1.0569278835316158</v>
      </c>
      <c r="AJ118" s="14">
        <f t="shared" si="117"/>
        <v>760.91147312639691</v>
      </c>
      <c r="AK118" s="13">
        <f t="shared" si="118"/>
        <v>1.0569278835316158</v>
      </c>
      <c r="AL118" s="14">
        <f t="shared" si="119"/>
        <v>761.24337321358621</v>
      </c>
      <c r="AM118" s="13">
        <f t="shared" si="120"/>
        <v>1.0569278835316158</v>
      </c>
      <c r="AN118" s="14">
        <f t="shared" si="121"/>
        <v>761.24337321358621</v>
      </c>
    </row>
    <row r="119" spans="1:40" ht="15.75" thickBot="1" x14ac:dyDescent="0.3">
      <c r="P119" s="13">
        <f t="shared" si="98"/>
        <v>1.0128046819111443</v>
      </c>
      <c r="Q119" s="5">
        <f t="shared" si="99"/>
        <v>756.76149574547901</v>
      </c>
      <c r="R119" s="13">
        <f t="shared" si="100"/>
        <v>1.0093411251331053</v>
      </c>
      <c r="S119" s="14">
        <f t="shared" si="101"/>
        <v>762.73940443000834</v>
      </c>
      <c r="T119" s="5">
        <f t="shared" si="102"/>
        <v>1.0076055091849014</v>
      </c>
      <c r="U119" s="5">
        <f t="shared" si="103"/>
        <v>765.81372226304541</v>
      </c>
      <c r="V119" s="13">
        <f t="shared" si="104"/>
        <v>1.0130367762778654</v>
      </c>
      <c r="W119" s="14">
        <f t="shared" si="105"/>
        <v>762.00984347825283</v>
      </c>
      <c r="X119" s="13">
        <f t="shared" si="106"/>
        <v>1.0109056174767643</v>
      </c>
      <c r="Y119" s="14">
        <f t="shared" si="107"/>
        <v>766.13707799849226</v>
      </c>
      <c r="Z119" s="13">
        <f t="shared" si="108"/>
        <v>1.0084652673783354</v>
      </c>
      <c r="AA119" s="14">
        <f t="shared" si="109"/>
        <v>770.4197011356116</v>
      </c>
      <c r="AB119" s="5">
        <f t="shared" si="110"/>
        <v>1.0118594490439843</v>
      </c>
      <c r="AC119" s="14">
        <f t="shared" si="111"/>
        <v>778.54475591461267</v>
      </c>
      <c r="AD119" s="13">
        <f t="shared" si="112"/>
        <v>1.0097455845525398</v>
      </c>
      <c r="AE119" s="14">
        <f t="shared" si="113"/>
        <v>782.41374300695213</v>
      </c>
      <c r="AF119" s="13">
        <f t="shared" si="114"/>
        <v>1.0073196714919088</v>
      </c>
      <c r="AG119" s="14">
        <f t="shared" si="115"/>
        <v>786.65364553854283</v>
      </c>
      <c r="AI119" s="13">
        <f t="shared" si="116"/>
        <v>1.0569278835316158</v>
      </c>
      <c r="AJ119" s="14">
        <f t="shared" si="117"/>
        <v>760.91147312639691</v>
      </c>
      <c r="AK119" s="13">
        <f t="shared" si="118"/>
        <v>1.0569278835316158</v>
      </c>
      <c r="AL119" s="14">
        <f t="shared" si="119"/>
        <v>761.24337321358621</v>
      </c>
      <c r="AM119" s="13">
        <f t="shared" si="120"/>
        <v>1.0569278835316158</v>
      </c>
      <c r="AN119" s="14">
        <f t="shared" si="121"/>
        <v>761.24337321358621</v>
      </c>
    </row>
    <row r="120" spans="1:40" ht="15.75" thickBot="1" x14ac:dyDescent="0.3">
      <c r="A120" s="67" t="s">
        <v>142</v>
      </c>
      <c r="B120" s="72">
        <f>((B6*90%)-((B27/1000)+B116+B118))</f>
        <v>5.3200345987222972</v>
      </c>
      <c r="C120" s="73"/>
      <c r="D120" s="74"/>
      <c r="E120" s="72">
        <f>((E6*90%)-((E27/1000)+E116+E118))</f>
        <v>5.3295277427601677</v>
      </c>
      <c r="F120" s="73"/>
      <c r="G120" s="74"/>
      <c r="H120" s="72">
        <f>((H6*90%)-((H27/1000)+H116+H118))</f>
        <v>5.3764459964563356</v>
      </c>
      <c r="I120" s="73"/>
      <c r="J120" s="74"/>
      <c r="L120" s="64">
        <f>((L6*90%)-((H27/1000)+L116+L118))</f>
        <v>5.3166229905090576</v>
      </c>
      <c r="M120" s="65">
        <f t="shared" ref="M120:N120" si="123">((M6*90%)-((I27/1000)+M116+M118))</f>
        <v>5.3287374963414083</v>
      </c>
      <c r="N120" s="66">
        <f t="shared" si="123"/>
        <v>5.3793630881281143</v>
      </c>
      <c r="P120" s="13">
        <f t="shared" si="98"/>
        <v>1.0128046819111443</v>
      </c>
      <c r="Q120" s="5">
        <f t="shared" si="99"/>
        <v>756.76149574547901</v>
      </c>
      <c r="R120" s="13">
        <f t="shared" si="100"/>
        <v>1.0093411251331053</v>
      </c>
      <c r="S120" s="14">
        <f t="shared" si="101"/>
        <v>762.73940443000834</v>
      </c>
      <c r="T120" s="5">
        <f t="shared" si="102"/>
        <v>1.0076055091849014</v>
      </c>
      <c r="U120" s="5">
        <f t="shared" si="103"/>
        <v>765.81372226304541</v>
      </c>
      <c r="V120" s="13">
        <f t="shared" si="104"/>
        <v>1.0130367762778654</v>
      </c>
      <c r="W120" s="14">
        <f t="shared" si="105"/>
        <v>762.00984347825283</v>
      </c>
      <c r="X120" s="13">
        <f t="shared" si="106"/>
        <v>1.0109056174767643</v>
      </c>
      <c r="Y120" s="14">
        <f t="shared" si="107"/>
        <v>766.13707799849226</v>
      </c>
      <c r="Z120" s="13">
        <f t="shared" si="108"/>
        <v>1.0084652673783354</v>
      </c>
      <c r="AA120" s="14">
        <f t="shared" si="109"/>
        <v>770.4197011356116</v>
      </c>
      <c r="AB120" s="5">
        <f t="shared" si="110"/>
        <v>1.0118594490439843</v>
      </c>
      <c r="AC120" s="14">
        <f t="shared" si="111"/>
        <v>778.54475591461267</v>
      </c>
      <c r="AD120" s="13">
        <f t="shared" si="112"/>
        <v>1.0097455845525398</v>
      </c>
      <c r="AE120" s="14">
        <f t="shared" si="113"/>
        <v>782.41374300695213</v>
      </c>
      <c r="AF120" s="13">
        <f t="shared" si="114"/>
        <v>1.0073196714919088</v>
      </c>
      <c r="AG120" s="14">
        <f t="shared" si="115"/>
        <v>786.65364553854283</v>
      </c>
      <c r="AI120" s="13">
        <f t="shared" si="116"/>
        <v>1.0569278835316158</v>
      </c>
      <c r="AJ120" s="14">
        <f t="shared" si="117"/>
        <v>760.91147312639691</v>
      </c>
      <c r="AK120" s="13">
        <f t="shared" si="118"/>
        <v>1.0569278835316158</v>
      </c>
      <c r="AL120" s="14">
        <f t="shared" si="119"/>
        <v>761.24337321358621</v>
      </c>
      <c r="AM120" s="13">
        <f t="shared" si="120"/>
        <v>1.0569278835316158</v>
      </c>
      <c r="AN120" s="14">
        <f t="shared" si="121"/>
        <v>761.24337321358621</v>
      </c>
    </row>
    <row r="121" spans="1:40" ht="15.75" thickBot="1" x14ac:dyDescent="0.3">
      <c r="P121" s="13">
        <f t="shared" si="98"/>
        <v>1.0128046819111443</v>
      </c>
      <c r="Q121" s="5">
        <f t="shared" si="99"/>
        <v>756.76149574547901</v>
      </c>
      <c r="R121" s="13">
        <f t="shared" si="100"/>
        <v>1.0093411251331053</v>
      </c>
      <c r="S121" s="14">
        <f t="shared" si="101"/>
        <v>762.73940443000834</v>
      </c>
      <c r="T121" s="5">
        <f t="shared" si="102"/>
        <v>1.0076055091849014</v>
      </c>
      <c r="U121" s="5">
        <f t="shared" si="103"/>
        <v>765.81372226304541</v>
      </c>
      <c r="V121" s="13">
        <f t="shared" si="104"/>
        <v>1.0130367762778654</v>
      </c>
      <c r="W121" s="14">
        <f t="shared" si="105"/>
        <v>762.00984347825283</v>
      </c>
      <c r="X121" s="13">
        <f t="shared" si="106"/>
        <v>1.0109056174767643</v>
      </c>
      <c r="Y121" s="14">
        <f t="shared" si="107"/>
        <v>766.13707799849226</v>
      </c>
      <c r="Z121" s="13">
        <f t="shared" si="108"/>
        <v>1.0084652673783354</v>
      </c>
      <c r="AA121" s="14">
        <f t="shared" si="109"/>
        <v>770.4197011356116</v>
      </c>
      <c r="AB121" s="5">
        <f t="shared" si="110"/>
        <v>1.0118594490439843</v>
      </c>
      <c r="AC121" s="14">
        <f t="shared" si="111"/>
        <v>778.54475591461267</v>
      </c>
      <c r="AD121" s="13">
        <f t="shared" si="112"/>
        <v>1.0097455845525398</v>
      </c>
      <c r="AE121" s="14">
        <f t="shared" si="113"/>
        <v>782.41374300695213</v>
      </c>
      <c r="AF121" s="13">
        <f t="shared" si="114"/>
        <v>1.0073196714919088</v>
      </c>
      <c r="AG121" s="14">
        <f t="shared" si="115"/>
        <v>786.65364553854283</v>
      </c>
      <c r="AI121" s="13">
        <f t="shared" si="116"/>
        <v>1.0569278835316158</v>
      </c>
      <c r="AJ121" s="14">
        <f t="shared" si="117"/>
        <v>760.91147312639691</v>
      </c>
      <c r="AK121" s="13">
        <f t="shared" si="118"/>
        <v>1.0569278835316158</v>
      </c>
      <c r="AL121" s="14">
        <f t="shared" si="119"/>
        <v>761.24337321358621</v>
      </c>
      <c r="AM121" s="13">
        <f t="shared" si="120"/>
        <v>1.0569278835316158</v>
      </c>
      <c r="AN121" s="14">
        <f t="shared" si="121"/>
        <v>761.24337321358621</v>
      </c>
    </row>
    <row r="122" spans="1:40" ht="15.75" thickBot="1" x14ac:dyDescent="0.3">
      <c r="A122" s="67" t="s">
        <v>152</v>
      </c>
      <c r="B122" s="72">
        <f>(9.445+(0.19*S3)+(0.271*V3)-(0.259*W3)+(0.489*B6))</f>
        <v>24.184242291433563</v>
      </c>
      <c r="C122" s="73"/>
      <c r="D122" s="74"/>
      <c r="E122" s="72">
        <f>(9.445+(0.19*S3)+(0.271*V3)-(0.259*W3)+(0.489*E6))</f>
        <v>24.193023803582367</v>
      </c>
      <c r="F122" s="73"/>
      <c r="G122" s="74"/>
      <c r="H122" s="72">
        <f>(9.445+(0.19*S3)+(0.271*V3)-(0.259*W3)+(0.489*H6))</f>
        <v>24.232998041280595</v>
      </c>
      <c r="I122" s="73"/>
      <c r="J122" s="74"/>
      <c r="L122" s="64">
        <f>(9.445+(0.19*S3)+(0.271*V3)-(0.259*W3)+(0.489*L6))</f>
        <v>24.184242291433563</v>
      </c>
      <c r="M122" s="65">
        <f>(9.445+(0.19*S3)+(0.271*V3)-(0.259*W3)+(0.489*M6))</f>
        <v>24.193023803582367</v>
      </c>
      <c r="N122" s="66">
        <f>(9.445+(0.19*S3)+(0.271*V3)-(0.259*W3)+(0.489*N6))</f>
        <v>24.232998041280595</v>
      </c>
      <c r="P122" s="13">
        <f t="shared" si="98"/>
        <v>1.0128046819111443</v>
      </c>
      <c r="Q122" s="5">
        <f t="shared" si="99"/>
        <v>756.76149574547901</v>
      </c>
      <c r="R122" s="13">
        <f t="shared" si="100"/>
        <v>1.0093411251331053</v>
      </c>
      <c r="S122" s="14">
        <f t="shared" si="101"/>
        <v>762.73940443000834</v>
      </c>
      <c r="T122" s="5">
        <f t="shared" si="102"/>
        <v>1.0076055091849014</v>
      </c>
      <c r="U122" s="5">
        <f t="shared" si="103"/>
        <v>765.81372226304541</v>
      </c>
      <c r="V122" s="13">
        <f t="shared" si="104"/>
        <v>1.0130367762778654</v>
      </c>
      <c r="W122" s="14">
        <f t="shared" si="105"/>
        <v>762.00984347825283</v>
      </c>
      <c r="X122" s="13">
        <f t="shared" si="106"/>
        <v>1.0109056174767643</v>
      </c>
      <c r="Y122" s="14">
        <f t="shared" si="107"/>
        <v>766.13707799849226</v>
      </c>
      <c r="Z122" s="13">
        <f t="shared" si="108"/>
        <v>1.0084652673783354</v>
      </c>
      <c r="AA122" s="14">
        <f t="shared" si="109"/>
        <v>770.4197011356116</v>
      </c>
      <c r="AB122" s="5">
        <f t="shared" si="110"/>
        <v>1.0118594490439843</v>
      </c>
      <c r="AC122" s="14">
        <f t="shared" si="111"/>
        <v>778.54475591461267</v>
      </c>
      <c r="AD122" s="13">
        <f t="shared" si="112"/>
        <v>1.0097455845525398</v>
      </c>
      <c r="AE122" s="14">
        <f t="shared" si="113"/>
        <v>782.41374300695213</v>
      </c>
      <c r="AF122" s="13">
        <f t="shared" si="114"/>
        <v>1.0073196714919088</v>
      </c>
      <c r="AG122" s="14">
        <f t="shared" si="115"/>
        <v>786.65364553854283</v>
      </c>
      <c r="AI122" s="13">
        <f t="shared" si="116"/>
        <v>1.0569278835316158</v>
      </c>
      <c r="AJ122" s="14">
        <f t="shared" si="117"/>
        <v>760.91147312639691</v>
      </c>
      <c r="AK122" s="13">
        <f t="shared" si="118"/>
        <v>1.0569278835316158</v>
      </c>
      <c r="AL122" s="14">
        <f t="shared" si="119"/>
        <v>761.24337321358621</v>
      </c>
      <c r="AM122" s="13">
        <f t="shared" si="120"/>
        <v>1.0569278835316158</v>
      </c>
      <c r="AN122" s="14">
        <f t="shared" si="121"/>
        <v>761.24337321358621</v>
      </c>
    </row>
    <row r="123" spans="1:40" x14ac:dyDescent="0.25">
      <c r="P123" s="13">
        <f t="shared" si="98"/>
        <v>1.0128046819111443</v>
      </c>
      <c r="Q123" s="5">
        <f t="shared" si="99"/>
        <v>756.76149574547901</v>
      </c>
      <c r="R123" s="13">
        <f t="shared" si="100"/>
        <v>1.0093411251331053</v>
      </c>
      <c r="S123" s="14">
        <f t="shared" si="101"/>
        <v>762.73940443000834</v>
      </c>
      <c r="T123" s="5">
        <f t="shared" si="102"/>
        <v>1.0076055091849014</v>
      </c>
      <c r="U123" s="5">
        <f t="shared" si="103"/>
        <v>765.81372226304541</v>
      </c>
      <c r="V123" s="13">
        <f t="shared" si="104"/>
        <v>1.0130367762778654</v>
      </c>
      <c r="W123" s="14">
        <f t="shared" si="105"/>
        <v>762.00984347825283</v>
      </c>
      <c r="X123" s="13">
        <f t="shared" si="106"/>
        <v>1.0109056174767643</v>
      </c>
      <c r="Y123" s="14">
        <f t="shared" si="107"/>
        <v>766.13707799849226</v>
      </c>
      <c r="Z123" s="13">
        <f t="shared" si="108"/>
        <v>1.0084652673783354</v>
      </c>
      <c r="AA123" s="14">
        <f t="shared" si="109"/>
        <v>770.4197011356116</v>
      </c>
      <c r="AB123" s="5">
        <f t="shared" si="110"/>
        <v>1.0118594490439843</v>
      </c>
      <c r="AC123" s="14">
        <f t="shared" si="111"/>
        <v>778.54475591461267</v>
      </c>
      <c r="AD123" s="13">
        <f t="shared" si="112"/>
        <v>1.0097455845525398</v>
      </c>
      <c r="AE123" s="14">
        <f t="shared" si="113"/>
        <v>782.41374300695213</v>
      </c>
      <c r="AF123" s="13">
        <f t="shared" si="114"/>
        <v>1.0073196714919088</v>
      </c>
      <c r="AG123" s="14">
        <f t="shared" si="115"/>
        <v>786.65364553854283</v>
      </c>
      <c r="AI123" s="13">
        <f t="shared" si="116"/>
        <v>1.0569278835316158</v>
      </c>
      <c r="AJ123" s="14">
        <f t="shared" si="117"/>
        <v>760.91147312639691</v>
      </c>
      <c r="AK123" s="13">
        <f t="shared" si="118"/>
        <v>1.0569278835316158</v>
      </c>
      <c r="AL123" s="14">
        <f t="shared" si="119"/>
        <v>761.24337321358621</v>
      </c>
      <c r="AM123" s="13">
        <f t="shared" si="120"/>
        <v>1.0569278835316158</v>
      </c>
      <c r="AN123" s="14">
        <f t="shared" si="121"/>
        <v>761.24337321358621</v>
      </c>
    </row>
    <row r="124" spans="1:40" x14ac:dyDescent="0.25">
      <c r="P124" s="13">
        <f t="shared" si="98"/>
        <v>1.0128046819111443</v>
      </c>
      <c r="Q124" s="5">
        <f t="shared" si="99"/>
        <v>756.76149574547901</v>
      </c>
      <c r="R124" s="13">
        <f t="shared" si="100"/>
        <v>1.0093411251331053</v>
      </c>
      <c r="S124" s="14">
        <f t="shared" si="101"/>
        <v>762.73940443000834</v>
      </c>
      <c r="T124" s="5">
        <f t="shared" si="102"/>
        <v>1.0076055091849014</v>
      </c>
      <c r="U124" s="5">
        <f t="shared" si="103"/>
        <v>765.81372226304541</v>
      </c>
      <c r="V124" s="13">
        <f t="shared" si="104"/>
        <v>1.0130367762778654</v>
      </c>
      <c r="W124" s="14">
        <f t="shared" si="105"/>
        <v>762.00984347825283</v>
      </c>
      <c r="X124" s="13">
        <f t="shared" si="106"/>
        <v>1.0109056174767643</v>
      </c>
      <c r="Y124" s="14">
        <f t="shared" si="107"/>
        <v>766.13707799849226</v>
      </c>
      <c r="Z124" s="13">
        <f t="shared" si="108"/>
        <v>1.0084652673783354</v>
      </c>
      <c r="AA124" s="14">
        <f t="shared" si="109"/>
        <v>770.4197011356116</v>
      </c>
      <c r="AB124" s="5">
        <f t="shared" si="110"/>
        <v>1.0118594490439843</v>
      </c>
      <c r="AC124" s="14">
        <f t="shared" si="111"/>
        <v>778.54475591461267</v>
      </c>
      <c r="AD124" s="13">
        <f t="shared" si="112"/>
        <v>1.0097455845525398</v>
      </c>
      <c r="AE124" s="14">
        <f t="shared" si="113"/>
        <v>782.41374300695213</v>
      </c>
      <c r="AF124" s="13">
        <f t="shared" si="114"/>
        <v>1.0073196714919088</v>
      </c>
      <c r="AG124" s="14">
        <f t="shared" si="115"/>
        <v>786.65364553854283</v>
      </c>
      <c r="AI124" s="13">
        <f t="shared" si="116"/>
        <v>1.0569278835316158</v>
      </c>
      <c r="AJ124" s="14">
        <f t="shared" si="117"/>
        <v>760.91147312639691</v>
      </c>
      <c r="AK124" s="13">
        <f t="shared" si="118"/>
        <v>1.0569278835316158</v>
      </c>
      <c r="AL124" s="14">
        <f t="shared" si="119"/>
        <v>761.24337321358621</v>
      </c>
      <c r="AM124" s="13">
        <f t="shared" si="120"/>
        <v>1.0569278835316158</v>
      </c>
      <c r="AN124" s="14">
        <f t="shared" si="121"/>
        <v>761.24337321358621</v>
      </c>
    </row>
    <row r="125" spans="1:40" x14ac:dyDescent="0.25">
      <c r="P125" s="13">
        <f t="shared" si="98"/>
        <v>1.0128046819111443</v>
      </c>
      <c r="Q125" s="5">
        <f t="shared" si="99"/>
        <v>756.76149574547901</v>
      </c>
      <c r="R125" s="13">
        <f t="shared" si="100"/>
        <v>1.0093411251331053</v>
      </c>
      <c r="S125" s="14">
        <f t="shared" si="101"/>
        <v>762.73940443000834</v>
      </c>
      <c r="T125" s="5">
        <f t="shared" si="102"/>
        <v>1.0076055091849014</v>
      </c>
      <c r="U125" s="5">
        <f t="shared" si="103"/>
        <v>765.81372226304541</v>
      </c>
      <c r="V125" s="13">
        <f t="shared" si="104"/>
        <v>1.0130367762778654</v>
      </c>
      <c r="W125" s="14">
        <f t="shared" si="105"/>
        <v>762.00984347825283</v>
      </c>
      <c r="X125" s="13">
        <f t="shared" si="106"/>
        <v>1.0109056174767643</v>
      </c>
      <c r="Y125" s="14">
        <f t="shared" si="107"/>
        <v>766.13707799849226</v>
      </c>
      <c r="Z125" s="13">
        <f t="shared" si="108"/>
        <v>1.0084652673783354</v>
      </c>
      <c r="AA125" s="14">
        <f t="shared" si="109"/>
        <v>770.4197011356116</v>
      </c>
      <c r="AB125" s="5">
        <f t="shared" si="110"/>
        <v>1.0118594490439843</v>
      </c>
      <c r="AC125" s="14">
        <f t="shared" si="111"/>
        <v>778.54475591461267</v>
      </c>
      <c r="AD125" s="13">
        <f t="shared" si="112"/>
        <v>1.0097455845525398</v>
      </c>
      <c r="AE125" s="14">
        <f t="shared" si="113"/>
        <v>782.41374300695213</v>
      </c>
      <c r="AF125" s="13">
        <f t="shared" si="114"/>
        <v>1.0073196714919088</v>
      </c>
      <c r="AG125" s="14">
        <f t="shared" si="115"/>
        <v>786.65364553854283</v>
      </c>
      <c r="AI125" s="13">
        <f t="shared" si="116"/>
        <v>1.0569278835316158</v>
      </c>
      <c r="AJ125" s="14">
        <f t="shared" si="117"/>
        <v>760.91147312639691</v>
      </c>
      <c r="AK125" s="13">
        <f t="shared" si="118"/>
        <v>1.0569278835316158</v>
      </c>
      <c r="AL125" s="14">
        <f t="shared" si="119"/>
        <v>761.24337321358621</v>
      </c>
      <c r="AM125" s="13">
        <f t="shared" si="120"/>
        <v>1.0569278835316158</v>
      </c>
      <c r="AN125" s="14">
        <f t="shared" si="121"/>
        <v>761.24337321358621</v>
      </c>
    </row>
    <row r="126" spans="1:40" x14ac:dyDescent="0.25">
      <c r="P126" s="13">
        <f t="shared" si="98"/>
        <v>1.0128046819111443</v>
      </c>
      <c r="Q126" s="5">
        <f t="shared" si="99"/>
        <v>756.76149574547901</v>
      </c>
      <c r="R126" s="13">
        <f t="shared" si="100"/>
        <v>1.0093411251331053</v>
      </c>
      <c r="S126" s="14">
        <f t="shared" si="101"/>
        <v>762.73940443000834</v>
      </c>
      <c r="T126" s="5">
        <f t="shared" si="102"/>
        <v>1.0076055091849014</v>
      </c>
      <c r="U126" s="5">
        <f t="shared" si="103"/>
        <v>765.81372226304541</v>
      </c>
      <c r="V126" s="13">
        <f t="shared" si="104"/>
        <v>1.0130367762778654</v>
      </c>
      <c r="W126" s="14">
        <f t="shared" si="105"/>
        <v>762.00984347825283</v>
      </c>
      <c r="X126" s="13">
        <f t="shared" si="106"/>
        <v>1.0109056174767643</v>
      </c>
      <c r="Y126" s="14">
        <f t="shared" si="107"/>
        <v>766.13707799849226</v>
      </c>
      <c r="Z126" s="13">
        <f t="shared" si="108"/>
        <v>1.0084652673783354</v>
      </c>
      <c r="AA126" s="14">
        <f t="shared" si="109"/>
        <v>770.4197011356116</v>
      </c>
      <c r="AB126" s="5">
        <f t="shared" si="110"/>
        <v>1.0118594490439843</v>
      </c>
      <c r="AC126" s="14">
        <f t="shared" si="111"/>
        <v>778.54475591461267</v>
      </c>
      <c r="AD126" s="13">
        <f t="shared" si="112"/>
        <v>1.0097455845525398</v>
      </c>
      <c r="AE126" s="14">
        <f t="shared" si="113"/>
        <v>782.41374300695213</v>
      </c>
      <c r="AF126" s="13">
        <f t="shared" si="114"/>
        <v>1.0073196714919088</v>
      </c>
      <c r="AG126" s="14">
        <f t="shared" si="115"/>
        <v>786.65364553854283</v>
      </c>
      <c r="AI126" s="13">
        <f t="shared" si="116"/>
        <v>1.0569278835316158</v>
      </c>
      <c r="AJ126" s="14">
        <f t="shared" si="117"/>
        <v>760.91147312639691</v>
      </c>
      <c r="AK126" s="13">
        <f t="shared" si="118"/>
        <v>1.0569278835316158</v>
      </c>
      <c r="AL126" s="14">
        <f t="shared" si="119"/>
        <v>761.24337321358621</v>
      </c>
      <c r="AM126" s="13">
        <f t="shared" si="120"/>
        <v>1.0569278835316158</v>
      </c>
      <c r="AN126" s="14">
        <f t="shared" si="121"/>
        <v>761.24337321358621</v>
      </c>
    </row>
    <row r="127" spans="1:40" x14ac:dyDescent="0.25">
      <c r="P127" s="13">
        <f t="shared" si="98"/>
        <v>1.0128046819111443</v>
      </c>
      <c r="Q127" s="5">
        <f t="shared" si="99"/>
        <v>756.76149574547901</v>
      </c>
      <c r="R127" s="13">
        <f t="shared" si="100"/>
        <v>1.0093411251331053</v>
      </c>
      <c r="S127" s="14">
        <f t="shared" si="101"/>
        <v>762.73940443000834</v>
      </c>
      <c r="T127" s="5">
        <f t="shared" si="102"/>
        <v>1.0076055091849014</v>
      </c>
      <c r="U127" s="5">
        <f t="shared" si="103"/>
        <v>765.81372226304541</v>
      </c>
      <c r="V127" s="13">
        <f t="shared" si="104"/>
        <v>1.0130367762778654</v>
      </c>
      <c r="W127" s="14">
        <f t="shared" si="105"/>
        <v>762.00984347825283</v>
      </c>
      <c r="X127" s="13">
        <f t="shared" si="106"/>
        <v>1.0109056174767643</v>
      </c>
      <c r="Y127" s="14">
        <f t="shared" si="107"/>
        <v>766.13707799849226</v>
      </c>
      <c r="Z127" s="13">
        <f t="shared" si="108"/>
        <v>1.0084652673783354</v>
      </c>
      <c r="AA127" s="14">
        <f t="shared" si="109"/>
        <v>770.4197011356116</v>
      </c>
      <c r="AB127" s="5">
        <f t="shared" si="110"/>
        <v>1.0118594490439843</v>
      </c>
      <c r="AC127" s="14">
        <f t="shared" si="111"/>
        <v>778.54475591461267</v>
      </c>
      <c r="AD127" s="13">
        <f t="shared" si="112"/>
        <v>1.0097455845525398</v>
      </c>
      <c r="AE127" s="14">
        <f t="shared" si="113"/>
        <v>782.41374300695213</v>
      </c>
      <c r="AF127" s="13">
        <f t="shared" si="114"/>
        <v>1.0073196714919088</v>
      </c>
      <c r="AG127" s="14">
        <f t="shared" si="115"/>
        <v>786.65364553854283</v>
      </c>
      <c r="AI127" s="13">
        <f t="shared" si="116"/>
        <v>1.0569278835316158</v>
      </c>
      <c r="AJ127" s="14">
        <f t="shared" si="117"/>
        <v>760.91147312639691</v>
      </c>
      <c r="AK127" s="13">
        <f t="shared" si="118"/>
        <v>1.0569278835316158</v>
      </c>
      <c r="AL127" s="14">
        <f t="shared" si="119"/>
        <v>761.24337321358621</v>
      </c>
      <c r="AM127" s="13">
        <f t="shared" si="120"/>
        <v>1.0569278835316158</v>
      </c>
      <c r="AN127" s="14">
        <f t="shared" si="121"/>
        <v>761.24337321358621</v>
      </c>
    </row>
    <row r="128" spans="1:40" x14ac:dyDescent="0.25">
      <c r="P128" s="13">
        <f t="shared" si="98"/>
        <v>1.0128046819111443</v>
      </c>
      <c r="Q128" s="5">
        <f t="shared" si="99"/>
        <v>756.76149574547901</v>
      </c>
      <c r="R128" s="13">
        <f t="shared" si="100"/>
        <v>1.0093411251331053</v>
      </c>
      <c r="S128" s="14">
        <f t="shared" si="101"/>
        <v>762.73940443000834</v>
      </c>
      <c r="T128" s="5">
        <f t="shared" si="102"/>
        <v>1.0076055091849014</v>
      </c>
      <c r="U128" s="5">
        <f t="shared" si="103"/>
        <v>765.81372226304541</v>
      </c>
      <c r="V128" s="13">
        <f t="shared" si="104"/>
        <v>1.0130367762778654</v>
      </c>
      <c r="W128" s="14">
        <f t="shared" si="105"/>
        <v>762.00984347825283</v>
      </c>
      <c r="X128" s="13">
        <f t="shared" si="106"/>
        <v>1.0109056174767643</v>
      </c>
      <c r="Y128" s="14">
        <f t="shared" si="107"/>
        <v>766.13707799849226</v>
      </c>
      <c r="Z128" s="13">
        <f t="shared" si="108"/>
        <v>1.0084652673783354</v>
      </c>
      <c r="AA128" s="14">
        <f t="shared" si="109"/>
        <v>770.4197011356116</v>
      </c>
      <c r="AB128" s="5">
        <f t="shared" si="110"/>
        <v>1.0118594490439843</v>
      </c>
      <c r="AC128" s="14">
        <f t="shared" si="111"/>
        <v>778.54475591461267</v>
      </c>
      <c r="AD128" s="13">
        <f t="shared" si="112"/>
        <v>1.0097455845525398</v>
      </c>
      <c r="AE128" s="14">
        <f t="shared" si="113"/>
        <v>782.41374300695213</v>
      </c>
      <c r="AF128" s="13">
        <f t="shared" si="114"/>
        <v>1.0073196714919088</v>
      </c>
      <c r="AG128" s="14">
        <f t="shared" si="115"/>
        <v>786.65364553854283</v>
      </c>
      <c r="AI128" s="13">
        <f t="shared" si="116"/>
        <v>1.0569278835316158</v>
      </c>
      <c r="AJ128" s="14">
        <f t="shared" si="117"/>
        <v>760.91147312639691</v>
      </c>
      <c r="AK128" s="13">
        <f t="shared" si="118"/>
        <v>1.0569278835316158</v>
      </c>
      <c r="AL128" s="14">
        <f t="shared" si="119"/>
        <v>761.24337321358621</v>
      </c>
      <c r="AM128" s="13">
        <f t="shared" si="120"/>
        <v>1.0569278835316158</v>
      </c>
      <c r="AN128" s="14">
        <f t="shared" si="121"/>
        <v>761.24337321358621</v>
      </c>
    </row>
    <row r="129" spans="16:40" x14ac:dyDescent="0.25">
      <c r="P129" s="13">
        <f t="shared" si="98"/>
        <v>1.0128046819111443</v>
      </c>
      <c r="Q129" s="5">
        <f t="shared" si="99"/>
        <v>756.76149574547901</v>
      </c>
      <c r="R129" s="13">
        <f t="shared" si="100"/>
        <v>1.0093411251331053</v>
      </c>
      <c r="S129" s="14">
        <f t="shared" si="101"/>
        <v>762.73940443000834</v>
      </c>
      <c r="T129" s="5">
        <f t="shared" si="102"/>
        <v>1.0076055091849014</v>
      </c>
      <c r="U129" s="5">
        <f t="shared" si="103"/>
        <v>765.81372226304541</v>
      </c>
      <c r="V129" s="13">
        <f t="shared" si="104"/>
        <v>1.0130367762778654</v>
      </c>
      <c r="W129" s="14">
        <f t="shared" si="105"/>
        <v>762.00984347825283</v>
      </c>
      <c r="X129" s="13">
        <f t="shared" si="106"/>
        <v>1.0109056174767643</v>
      </c>
      <c r="Y129" s="14">
        <f t="shared" si="107"/>
        <v>766.13707799849226</v>
      </c>
      <c r="Z129" s="13">
        <f t="shared" si="108"/>
        <v>1.0084652673783354</v>
      </c>
      <c r="AA129" s="14">
        <f t="shared" si="109"/>
        <v>770.4197011356116</v>
      </c>
      <c r="AB129" s="5">
        <f t="shared" si="110"/>
        <v>1.0118594490439843</v>
      </c>
      <c r="AC129" s="14">
        <f t="shared" si="111"/>
        <v>778.54475591461267</v>
      </c>
      <c r="AD129" s="13">
        <f t="shared" si="112"/>
        <v>1.0097455845525398</v>
      </c>
      <c r="AE129" s="14">
        <f t="shared" si="113"/>
        <v>782.41374300695213</v>
      </c>
      <c r="AF129" s="13">
        <f t="shared" si="114"/>
        <v>1.0073196714919088</v>
      </c>
      <c r="AG129" s="14">
        <f t="shared" si="115"/>
        <v>786.65364553854283</v>
      </c>
      <c r="AI129" s="13">
        <f t="shared" si="116"/>
        <v>1.0569278835316158</v>
      </c>
      <c r="AJ129" s="14">
        <f t="shared" si="117"/>
        <v>760.91147312639691</v>
      </c>
      <c r="AK129" s="13">
        <f t="shared" si="118"/>
        <v>1.0569278835316158</v>
      </c>
      <c r="AL129" s="14">
        <f t="shared" si="119"/>
        <v>761.24337321358621</v>
      </c>
      <c r="AM129" s="13">
        <f t="shared" si="120"/>
        <v>1.0569278835316158</v>
      </c>
      <c r="AN129" s="14">
        <f t="shared" si="121"/>
        <v>761.24337321358621</v>
      </c>
    </row>
    <row r="130" spans="16:40" x14ac:dyDescent="0.25">
      <c r="P130" s="13">
        <f t="shared" si="98"/>
        <v>1.0128046819111443</v>
      </c>
      <c r="Q130" s="5">
        <f t="shared" si="99"/>
        <v>756.76149574547901</v>
      </c>
      <c r="R130" s="13">
        <f t="shared" si="100"/>
        <v>1.0093411251331053</v>
      </c>
      <c r="S130" s="14">
        <f t="shared" si="101"/>
        <v>762.73940443000834</v>
      </c>
      <c r="T130" s="5">
        <f t="shared" si="102"/>
        <v>1.0076055091849014</v>
      </c>
      <c r="U130" s="5">
        <f t="shared" si="103"/>
        <v>765.81372226304541</v>
      </c>
      <c r="V130" s="13">
        <f t="shared" si="104"/>
        <v>1.0130367762778654</v>
      </c>
      <c r="W130" s="14">
        <f t="shared" si="105"/>
        <v>762.00984347825283</v>
      </c>
      <c r="X130" s="13">
        <f t="shared" si="106"/>
        <v>1.0109056174767643</v>
      </c>
      <c r="Y130" s="14">
        <f t="shared" si="107"/>
        <v>766.13707799849226</v>
      </c>
      <c r="Z130" s="13">
        <f t="shared" si="108"/>
        <v>1.0084652673783354</v>
      </c>
      <c r="AA130" s="14">
        <f t="shared" si="109"/>
        <v>770.4197011356116</v>
      </c>
      <c r="AB130" s="5">
        <f t="shared" si="110"/>
        <v>1.0118594490439843</v>
      </c>
      <c r="AC130" s="14">
        <f t="shared" si="111"/>
        <v>778.54475591461267</v>
      </c>
      <c r="AD130" s="13">
        <f t="shared" si="112"/>
        <v>1.0097455845525398</v>
      </c>
      <c r="AE130" s="14">
        <f t="shared" si="113"/>
        <v>782.41374300695213</v>
      </c>
      <c r="AF130" s="13">
        <f t="shared" si="114"/>
        <v>1.0073196714919088</v>
      </c>
      <c r="AG130" s="14">
        <f t="shared" si="115"/>
        <v>786.65364553854283</v>
      </c>
      <c r="AI130" s="13">
        <f t="shared" si="116"/>
        <v>1.0569278835316158</v>
      </c>
      <c r="AJ130" s="14">
        <f t="shared" si="117"/>
        <v>760.91147312639691</v>
      </c>
      <c r="AK130" s="13">
        <f t="shared" si="118"/>
        <v>1.0569278835316158</v>
      </c>
      <c r="AL130" s="14">
        <f t="shared" si="119"/>
        <v>761.24337321358621</v>
      </c>
      <c r="AM130" s="13">
        <f t="shared" si="120"/>
        <v>1.0569278835316158</v>
      </c>
      <c r="AN130" s="14">
        <f t="shared" si="121"/>
        <v>761.24337321358621</v>
      </c>
    </row>
    <row r="131" spans="16:40" x14ac:dyDescent="0.25">
      <c r="P131" s="13">
        <f t="shared" si="98"/>
        <v>1.0128046819111443</v>
      </c>
      <c r="Q131" s="5">
        <f t="shared" si="99"/>
        <v>756.76149574547901</v>
      </c>
      <c r="R131" s="13">
        <f t="shared" si="100"/>
        <v>1.0093411251331053</v>
      </c>
      <c r="S131" s="14">
        <f t="shared" si="101"/>
        <v>762.73940443000834</v>
      </c>
      <c r="T131" s="5">
        <f t="shared" si="102"/>
        <v>1.0076055091849014</v>
      </c>
      <c r="U131" s="5">
        <f t="shared" si="103"/>
        <v>765.81372226304541</v>
      </c>
      <c r="V131" s="13">
        <f t="shared" si="104"/>
        <v>1.0130367762778654</v>
      </c>
      <c r="W131" s="14">
        <f t="shared" si="105"/>
        <v>762.00984347825283</v>
      </c>
      <c r="X131" s="13">
        <f t="shared" si="106"/>
        <v>1.0109056174767643</v>
      </c>
      <c r="Y131" s="14">
        <f t="shared" si="107"/>
        <v>766.13707799849226</v>
      </c>
      <c r="Z131" s="13">
        <f t="shared" si="108"/>
        <v>1.0084652673783354</v>
      </c>
      <c r="AA131" s="14">
        <f t="shared" si="109"/>
        <v>770.4197011356116</v>
      </c>
      <c r="AB131" s="5">
        <f t="shared" si="110"/>
        <v>1.0118594490439843</v>
      </c>
      <c r="AC131" s="14">
        <f t="shared" si="111"/>
        <v>778.54475591461267</v>
      </c>
      <c r="AD131" s="13">
        <f t="shared" si="112"/>
        <v>1.0097455845525398</v>
      </c>
      <c r="AE131" s="14">
        <f t="shared" si="113"/>
        <v>782.41374300695213</v>
      </c>
      <c r="AF131" s="13">
        <f t="shared" si="114"/>
        <v>1.0073196714919088</v>
      </c>
      <c r="AG131" s="14">
        <f t="shared" si="115"/>
        <v>786.65364553854283</v>
      </c>
      <c r="AI131" s="13">
        <f t="shared" si="116"/>
        <v>1.0569278835316158</v>
      </c>
      <c r="AJ131" s="14">
        <f t="shared" si="117"/>
        <v>760.91147312639691</v>
      </c>
      <c r="AK131" s="13">
        <f t="shared" si="118"/>
        <v>1.0569278835316158</v>
      </c>
      <c r="AL131" s="14">
        <f t="shared" si="119"/>
        <v>761.24337321358621</v>
      </c>
      <c r="AM131" s="13">
        <f t="shared" si="120"/>
        <v>1.0569278835316158</v>
      </c>
      <c r="AN131" s="14">
        <f t="shared" si="121"/>
        <v>761.24337321358621</v>
      </c>
    </row>
    <row r="132" spans="16:40" x14ac:dyDescent="0.25">
      <c r="P132" s="13">
        <f t="shared" si="98"/>
        <v>1.0128046819111443</v>
      </c>
      <c r="Q132" s="5">
        <f t="shared" si="99"/>
        <v>756.76149574547901</v>
      </c>
      <c r="R132" s="13">
        <f t="shared" si="100"/>
        <v>1.0093411251331053</v>
      </c>
      <c r="S132" s="14">
        <f t="shared" si="101"/>
        <v>762.73940443000834</v>
      </c>
      <c r="T132" s="5">
        <f t="shared" si="102"/>
        <v>1.0076055091849014</v>
      </c>
      <c r="U132" s="5">
        <f t="shared" si="103"/>
        <v>765.81372226304541</v>
      </c>
      <c r="V132" s="13">
        <f t="shared" si="104"/>
        <v>1.0130367762778654</v>
      </c>
      <c r="W132" s="14">
        <f t="shared" si="105"/>
        <v>762.00984347825283</v>
      </c>
      <c r="X132" s="13">
        <f t="shared" si="106"/>
        <v>1.0109056174767643</v>
      </c>
      <c r="Y132" s="14">
        <f t="shared" si="107"/>
        <v>766.13707799849226</v>
      </c>
      <c r="Z132" s="13">
        <f t="shared" si="108"/>
        <v>1.0084652673783354</v>
      </c>
      <c r="AA132" s="14">
        <f t="shared" si="109"/>
        <v>770.4197011356116</v>
      </c>
      <c r="AB132" s="5">
        <f t="shared" si="110"/>
        <v>1.0118594490439843</v>
      </c>
      <c r="AC132" s="14">
        <f t="shared" si="111"/>
        <v>778.54475591461267</v>
      </c>
      <c r="AD132" s="13">
        <f t="shared" si="112"/>
        <v>1.0097455845525398</v>
      </c>
      <c r="AE132" s="14">
        <f t="shared" si="113"/>
        <v>782.41374300695213</v>
      </c>
      <c r="AF132" s="13">
        <f t="shared" si="114"/>
        <v>1.0073196714919088</v>
      </c>
      <c r="AG132" s="14">
        <f t="shared" si="115"/>
        <v>786.65364553854283</v>
      </c>
      <c r="AI132" s="13">
        <f t="shared" si="116"/>
        <v>1.0569278835316158</v>
      </c>
      <c r="AJ132" s="14">
        <f t="shared" si="117"/>
        <v>760.91147312639691</v>
      </c>
      <c r="AK132" s="13">
        <f t="shared" si="118"/>
        <v>1.0569278835316158</v>
      </c>
      <c r="AL132" s="14">
        <f t="shared" si="119"/>
        <v>761.24337321358621</v>
      </c>
      <c r="AM132" s="13">
        <f t="shared" si="120"/>
        <v>1.0569278835316158</v>
      </c>
      <c r="AN132" s="14">
        <f t="shared" si="121"/>
        <v>761.24337321358621</v>
      </c>
    </row>
    <row r="133" spans="16:40" x14ac:dyDescent="0.25">
      <c r="P133" s="13">
        <f t="shared" si="98"/>
        <v>1.0128046819111443</v>
      </c>
      <c r="Q133" s="5">
        <f t="shared" si="99"/>
        <v>756.76149574547901</v>
      </c>
      <c r="R133" s="13">
        <f t="shared" si="100"/>
        <v>1.0093411251331053</v>
      </c>
      <c r="S133" s="14">
        <f t="shared" si="101"/>
        <v>762.73940443000834</v>
      </c>
      <c r="T133" s="5">
        <f t="shared" si="102"/>
        <v>1.0076055091849014</v>
      </c>
      <c r="U133" s="5">
        <f t="shared" si="103"/>
        <v>765.81372226304541</v>
      </c>
      <c r="V133" s="13">
        <f t="shared" si="104"/>
        <v>1.0130367762778654</v>
      </c>
      <c r="W133" s="14">
        <f t="shared" si="105"/>
        <v>762.00984347825283</v>
      </c>
      <c r="X133" s="13">
        <f t="shared" si="106"/>
        <v>1.0109056174767643</v>
      </c>
      <c r="Y133" s="14">
        <f t="shared" si="107"/>
        <v>766.13707799849226</v>
      </c>
      <c r="Z133" s="13">
        <f t="shared" si="108"/>
        <v>1.0084652673783354</v>
      </c>
      <c r="AA133" s="14">
        <f t="shared" si="109"/>
        <v>770.4197011356116</v>
      </c>
      <c r="AB133" s="5">
        <f t="shared" si="110"/>
        <v>1.0118594490439843</v>
      </c>
      <c r="AC133" s="14">
        <f t="shared" si="111"/>
        <v>778.54475591461267</v>
      </c>
      <c r="AD133" s="13">
        <f t="shared" si="112"/>
        <v>1.0097455845525398</v>
      </c>
      <c r="AE133" s="14">
        <f t="shared" si="113"/>
        <v>782.41374300695213</v>
      </c>
      <c r="AF133" s="13">
        <f t="shared" si="114"/>
        <v>1.0073196714919088</v>
      </c>
      <c r="AG133" s="14">
        <f t="shared" si="115"/>
        <v>786.65364553854283</v>
      </c>
      <c r="AI133" s="13">
        <f t="shared" si="116"/>
        <v>1.0569278835316158</v>
      </c>
      <c r="AJ133" s="14">
        <f t="shared" si="117"/>
        <v>760.91147312639691</v>
      </c>
      <c r="AK133" s="13">
        <f t="shared" si="118"/>
        <v>1.0569278835316158</v>
      </c>
      <c r="AL133" s="14">
        <f t="shared" si="119"/>
        <v>761.24337321358621</v>
      </c>
      <c r="AM133" s="13">
        <f t="shared" si="120"/>
        <v>1.0569278835316158</v>
      </c>
      <c r="AN133" s="14">
        <f t="shared" si="121"/>
        <v>761.24337321358621</v>
      </c>
    </row>
    <row r="134" spans="16:40" x14ac:dyDescent="0.25">
      <c r="P134" s="13">
        <f t="shared" si="98"/>
        <v>1.0128046819111443</v>
      </c>
      <c r="Q134" s="5">
        <f t="shared" si="99"/>
        <v>756.76149574547901</v>
      </c>
      <c r="R134" s="13">
        <f t="shared" si="100"/>
        <v>1.0093411251331053</v>
      </c>
      <c r="S134" s="14">
        <f t="shared" si="101"/>
        <v>762.73940443000834</v>
      </c>
      <c r="T134" s="5">
        <f t="shared" si="102"/>
        <v>1.0076055091849014</v>
      </c>
      <c r="U134" s="5">
        <f t="shared" si="103"/>
        <v>765.81372226304541</v>
      </c>
      <c r="V134" s="13">
        <f t="shared" si="104"/>
        <v>1.0130367762778654</v>
      </c>
      <c r="W134" s="14">
        <f t="shared" si="105"/>
        <v>762.00984347825283</v>
      </c>
      <c r="X134" s="13">
        <f t="shared" si="106"/>
        <v>1.0109056174767643</v>
      </c>
      <c r="Y134" s="14">
        <f t="shared" si="107"/>
        <v>766.13707799849226</v>
      </c>
      <c r="Z134" s="13">
        <f t="shared" si="108"/>
        <v>1.0084652673783354</v>
      </c>
      <c r="AA134" s="14">
        <f t="shared" si="109"/>
        <v>770.4197011356116</v>
      </c>
      <c r="AB134" s="5">
        <f t="shared" si="110"/>
        <v>1.0118594490439843</v>
      </c>
      <c r="AC134" s="14">
        <f t="shared" si="111"/>
        <v>778.54475591461267</v>
      </c>
      <c r="AD134" s="13">
        <f t="shared" si="112"/>
        <v>1.0097455845525398</v>
      </c>
      <c r="AE134" s="14">
        <f t="shared" si="113"/>
        <v>782.41374300695213</v>
      </c>
      <c r="AF134" s="13">
        <f t="shared" si="114"/>
        <v>1.0073196714919088</v>
      </c>
      <c r="AG134" s="14">
        <f t="shared" si="115"/>
        <v>786.65364553854283</v>
      </c>
      <c r="AI134" s="13">
        <f t="shared" si="116"/>
        <v>1.0569278835316158</v>
      </c>
      <c r="AJ134" s="14">
        <f t="shared" si="117"/>
        <v>760.91147312639691</v>
      </c>
      <c r="AK134" s="13">
        <f t="shared" si="118"/>
        <v>1.0569278835316158</v>
      </c>
      <c r="AL134" s="14">
        <f t="shared" si="119"/>
        <v>761.24337321358621</v>
      </c>
      <c r="AM134" s="13">
        <f t="shared" si="120"/>
        <v>1.0569278835316158</v>
      </c>
      <c r="AN134" s="14">
        <f t="shared" si="121"/>
        <v>761.24337321358621</v>
      </c>
    </row>
    <row r="135" spans="16:40" x14ac:dyDescent="0.25">
      <c r="P135" s="13">
        <f t="shared" si="98"/>
        <v>1.0128046819111443</v>
      </c>
      <c r="Q135" s="5">
        <f t="shared" si="99"/>
        <v>756.76149574547901</v>
      </c>
      <c r="R135" s="13">
        <f t="shared" si="100"/>
        <v>1.0093411251331053</v>
      </c>
      <c r="S135" s="14">
        <f t="shared" si="101"/>
        <v>762.73940443000834</v>
      </c>
      <c r="T135" s="5">
        <f t="shared" si="102"/>
        <v>1.0076055091849014</v>
      </c>
      <c r="U135" s="5">
        <f t="shared" si="103"/>
        <v>765.81372226304541</v>
      </c>
      <c r="V135" s="13">
        <f t="shared" si="104"/>
        <v>1.0130367762778654</v>
      </c>
      <c r="W135" s="14">
        <f t="shared" si="105"/>
        <v>762.00984347825283</v>
      </c>
      <c r="X135" s="13">
        <f t="shared" si="106"/>
        <v>1.0109056174767643</v>
      </c>
      <c r="Y135" s="14">
        <f t="shared" si="107"/>
        <v>766.13707799849226</v>
      </c>
      <c r="Z135" s="13">
        <f t="shared" si="108"/>
        <v>1.0084652673783354</v>
      </c>
      <c r="AA135" s="14">
        <f t="shared" si="109"/>
        <v>770.4197011356116</v>
      </c>
      <c r="AB135" s="5">
        <f t="shared" si="110"/>
        <v>1.0118594490439843</v>
      </c>
      <c r="AC135" s="14">
        <f t="shared" si="111"/>
        <v>778.54475591461267</v>
      </c>
      <c r="AD135" s="13">
        <f t="shared" si="112"/>
        <v>1.0097455845525398</v>
      </c>
      <c r="AE135" s="14">
        <f t="shared" si="113"/>
        <v>782.41374300695213</v>
      </c>
      <c r="AF135" s="13">
        <f t="shared" si="114"/>
        <v>1.0073196714919088</v>
      </c>
      <c r="AG135" s="14">
        <f t="shared" si="115"/>
        <v>786.65364553854283</v>
      </c>
      <c r="AI135" s="13">
        <f t="shared" si="116"/>
        <v>1.0569278835316158</v>
      </c>
      <c r="AJ135" s="14">
        <f t="shared" si="117"/>
        <v>760.91147312639691</v>
      </c>
      <c r="AK135" s="13">
        <f t="shared" si="118"/>
        <v>1.0569278835316158</v>
      </c>
      <c r="AL135" s="14">
        <f t="shared" si="119"/>
        <v>761.24337321358621</v>
      </c>
      <c r="AM135" s="13">
        <f t="shared" si="120"/>
        <v>1.0569278835316158</v>
      </c>
      <c r="AN135" s="14">
        <f t="shared" si="121"/>
        <v>761.24337321358621</v>
      </c>
    </row>
    <row r="136" spans="16:40" x14ac:dyDescent="0.25">
      <c r="P136" s="13">
        <f t="shared" si="98"/>
        <v>1.0128046819111443</v>
      </c>
      <c r="Q136" s="5">
        <f t="shared" si="99"/>
        <v>756.76149574547901</v>
      </c>
      <c r="R136" s="13">
        <f t="shared" si="100"/>
        <v>1.0093411251331053</v>
      </c>
      <c r="S136" s="14">
        <f t="shared" si="101"/>
        <v>762.73940443000834</v>
      </c>
      <c r="T136" s="5">
        <f t="shared" si="102"/>
        <v>1.0076055091849014</v>
      </c>
      <c r="U136" s="5">
        <f t="shared" si="103"/>
        <v>765.81372226304541</v>
      </c>
      <c r="V136" s="13">
        <f t="shared" si="104"/>
        <v>1.0130367762778654</v>
      </c>
      <c r="W136" s="14">
        <f t="shared" si="105"/>
        <v>762.00984347825283</v>
      </c>
      <c r="X136" s="13">
        <f t="shared" si="106"/>
        <v>1.0109056174767643</v>
      </c>
      <c r="Y136" s="14">
        <f t="shared" si="107"/>
        <v>766.13707799849226</v>
      </c>
      <c r="Z136" s="13">
        <f t="shared" si="108"/>
        <v>1.0084652673783354</v>
      </c>
      <c r="AA136" s="14">
        <f t="shared" si="109"/>
        <v>770.4197011356116</v>
      </c>
      <c r="AB136" s="5">
        <f t="shared" si="110"/>
        <v>1.0118594490439843</v>
      </c>
      <c r="AC136" s="14">
        <f t="shared" si="111"/>
        <v>778.54475591461267</v>
      </c>
      <c r="AD136" s="13">
        <f t="shared" si="112"/>
        <v>1.0097455845525398</v>
      </c>
      <c r="AE136" s="14">
        <f t="shared" si="113"/>
        <v>782.41374300695213</v>
      </c>
      <c r="AF136" s="13">
        <f t="shared" si="114"/>
        <v>1.0073196714919088</v>
      </c>
      <c r="AG136" s="14">
        <f t="shared" si="115"/>
        <v>786.65364553854283</v>
      </c>
      <c r="AI136" s="13">
        <f t="shared" si="116"/>
        <v>1.0569278835316158</v>
      </c>
      <c r="AJ136" s="14">
        <f t="shared" si="117"/>
        <v>760.91147312639691</v>
      </c>
      <c r="AK136" s="13">
        <f t="shared" si="118"/>
        <v>1.0569278835316158</v>
      </c>
      <c r="AL136" s="14">
        <f t="shared" si="119"/>
        <v>761.24337321358621</v>
      </c>
      <c r="AM136" s="13">
        <f t="shared" si="120"/>
        <v>1.0569278835316158</v>
      </c>
      <c r="AN136" s="14">
        <f t="shared" si="121"/>
        <v>761.24337321358621</v>
      </c>
    </row>
    <row r="137" spans="16:40" x14ac:dyDescent="0.25">
      <c r="P137" s="13">
        <f t="shared" si="98"/>
        <v>1.0128046819111443</v>
      </c>
      <c r="Q137" s="5">
        <f t="shared" si="99"/>
        <v>756.76149574547901</v>
      </c>
      <c r="R137" s="13">
        <f t="shared" si="100"/>
        <v>1.0093411251331053</v>
      </c>
      <c r="S137" s="14">
        <f t="shared" si="101"/>
        <v>762.73940443000834</v>
      </c>
      <c r="T137" s="5">
        <f t="shared" si="102"/>
        <v>1.0076055091849014</v>
      </c>
      <c r="U137" s="5">
        <f t="shared" si="103"/>
        <v>765.81372226304541</v>
      </c>
      <c r="V137" s="13">
        <f t="shared" si="104"/>
        <v>1.0130367762778654</v>
      </c>
      <c r="W137" s="14">
        <f t="shared" si="105"/>
        <v>762.00984347825283</v>
      </c>
      <c r="X137" s="13">
        <f t="shared" si="106"/>
        <v>1.0109056174767643</v>
      </c>
      <c r="Y137" s="14">
        <f t="shared" si="107"/>
        <v>766.13707799849226</v>
      </c>
      <c r="Z137" s="13">
        <f t="shared" si="108"/>
        <v>1.0084652673783354</v>
      </c>
      <c r="AA137" s="14">
        <f t="shared" si="109"/>
        <v>770.4197011356116</v>
      </c>
      <c r="AB137" s="5">
        <f t="shared" si="110"/>
        <v>1.0118594490439843</v>
      </c>
      <c r="AC137" s="14">
        <f t="shared" si="111"/>
        <v>778.54475591461267</v>
      </c>
      <c r="AD137" s="13">
        <f t="shared" si="112"/>
        <v>1.0097455845525398</v>
      </c>
      <c r="AE137" s="14">
        <f t="shared" si="113"/>
        <v>782.41374300695213</v>
      </c>
      <c r="AF137" s="13">
        <f t="shared" si="114"/>
        <v>1.0073196714919088</v>
      </c>
      <c r="AG137" s="14">
        <f t="shared" si="115"/>
        <v>786.65364553854283</v>
      </c>
      <c r="AI137" s="13">
        <f t="shared" si="116"/>
        <v>1.0569278835316158</v>
      </c>
      <c r="AJ137" s="14">
        <f t="shared" si="117"/>
        <v>760.91147312639691</v>
      </c>
      <c r="AK137" s="13">
        <f t="shared" si="118"/>
        <v>1.0569278835316158</v>
      </c>
      <c r="AL137" s="14">
        <f t="shared" si="119"/>
        <v>761.24337321358621</v>
      </c>
      <c r="AM137" s="13">
        <f t="shared" si="120"/>
        <v>1.0569278835316158</v>
      </c>
      <c r="AN137" s="14">
        <f t="shared" si="121"/>
        <v>761.24337321358621</v>
      </c>
    </row>
    <row r="138" spans="16:40" x14ac:dyDescent="0.25">
      <c r="P138" s="13">
        <f t="shared" si="98"/>
        <v>1.0128046819111443</v>
      </c>
      <c r="Q138" s="5">
        <f t="shared" si="99"/>
        <v>756.76149574547901</v>
      </c>
      <c r="R138" s="13">
        <f t="shared" si="100"/>
        <v>1.0093411251331053</v>
      </c>
      <c r="S138" s="14">
        <f t="shared" si="101"/>
        <v>762.73940443000834</v>
      </c>
      <c r="T138" s="5">
        <f t="shared" si="102"/>
        <v>1.0076055091849014</v>
      </c>
      <c r="U138" s="5">
        <f t="shared" si="103"/>
        <v>765.81372226304541</v>
      </c>
      <c r="V138" s="13">
        <f t="shared" si="104"/>
        <v>1.0130367762778654</v>
      </c>
      <c r="W138" s="14">
        <f t="shared" si="105"/>
        <v>762.00984347825283</v>
      </c>
      <c r="X138" s="13">
        <f t="shared" si="106"/>
        <v>1.0109056174767643</v>
      </c>
      <c r="Y138" s="14">
        <f t="shared" si="107"/>
        <v>766.13707799849226</v>
      </c>
      <c r="Z138" s="13">
        <f t="shared" si="108"/>
        <v>1.0084652673783354</v>
      </c>
      <c r="AA138" s="14">
        <f t="shared" si="109"/>
        <v>770.4197011356116</v>
      </c>
      <c r="AB138" s="5">
        <f t="shared" si="110"/>
        <v>1.0118594490439843</v>
      </c>
      <c r="AC138" s="14">
        <f t="shared" si="111"/>
        <v>778.54475591461267</v>
      </c>
      <c r="AD138" s="13">
        <f t="shared" si="112"/>
        <v>1.0097455845525398</v>
      </c>
      <c r="AE138" s="14">
        <f t="shared" si="113"/>
        <v>782.41374300695213</v>
      </c>
      <c r="AF138" s="13">
        <f t="shared" si="114"/>
        <v>1.0073196714919088</v>
      </c>
      <c r="AG138" s="14">
        <f t="shared" si="115"/>
        <v>786.65364553854283</v>
      </c>
      <c r="AI138" s="13">
        <f t="shared" si="116"/>
        <v>1.0569278835316158</v>
      </c>
      <c r="AJ138" s="14">
        <f t="shared" si="117"/>
        <v>760.91147312639691</v>
      </c>
      <c r="AK138" s="13">
        <f t="shared" si="118"/>
        <v>1.0569278835316158</v>
      </c>
      <c r="AL138" s="14">
        <f t="shared" si="119"/>
        <v>761.24337321358621</v>
      </c>
      <c r="AM138" s="13">
        <f t="shared" si="120"/>
        <v>1.0569278835316158</v>
      </c>
      <c r="AN138" s="14">
        <f t="shared" si="121"/>
        <v>761.24337321358621</v>
      </c>
    </row>
    <row r="139" spans="16:40" x14ac:dyDescent="0.25">
      <c r="P139" s="13">
        <f t="shared" si="98"/>
        <v>1.0128046819111443</v>
      </c>
      <c r="Q139" s="5">
        <f t="shared" si="99"/>
        <v>756.76149574547901</v>
      </c>
      <c r="R139" s="13">
        <f t="shared" si="100"/>
        <v>1.0093411251331053</v>
      </c>
      <c r="S139" s="14">
        <f t="shared" si="101"/>
        <v>762.73940443000834</v>
      </c>
      <c r="T139" s="5">
        <f t="shared" si="102"/>
        <v>1.0076055091849014</v>
      </c>
      <c r="U139" s="5">
        <f t="shared" si="103"/>
        <v>765.81372226304541</v>
      </c>
      <c r="V139" s="13">
        <f t="shared" si="104"/>
        <v>1.0130367762778654</v>
      </c>
      <c r="W139" s="14">
        <f t="shared" si="105"/>
        <v>762.00984347825283</v>
      </c>
      <c r="X139" s="13">
        <f t="shared" si="106"/>
        <v>1.0109056174767643</v>
      </c>
      <c r="Y139" s="14">
        <f t="shared" si="107"/>
        <v>766.13707799849226</v>
      </c>
      <c r="Z139" s="13">
        <f t="shared" si="108"/>
        <v>1.0084652673783354</v>
      </c>
      <c r="AA139" s="14">
        <f t="shared" si="109"/>
        <v>770.4197011356116</v>
      </c>
      <c r="AB139" s="5">
        <f t="shared" si="110"/>
        <v>1.0118594490439843</v>
      </c>
      <c r="AC139" s="14">
        <f t="shared" si="111"/>
        <v>778.54475591461267</v>
      </c>
      <c r="AD139" s="13">
        <f t="shared" si="112"/>
        <v>1.0097455845525398</v>
      </c>
      <c r="AE139" s="14">
        <f t="shared" si="113"/>
        <v>782.41374300695213</v>
      </c>
      <c r="AF139" s="13">
        <f t="shared" si="114"/>
        <v>1.0073196714919088</v>
      </c>
      <c r="AG139" s="14">
        <f t="shared" si="115"/>
        <v>786.65364553854283</v>
      </c>
      <c r="AI139" s="13">
        <f t="shared" si="116"/>
        <v>1.0569278835316158</v>
      </c>
      <c r="AJ139" s="14">
        <f t="shared" si="117"/>
        <v>760.91147312639691</v>
      </c>
      <c r="AK139" s="13">
        <f t="shared" si="118"/>
        <v>1.0569278835316158</v>
      </c>
      <c r="AL139" s="14">
        <f t="shared" si="119"/>
        <v>761.24337321358621</v>
      </c>
      <c r="AM139" s="13">
        <f t="shared" si="120"/>
        <v>1.0569278835316158</v>
      </c>
      <c r="AN139" s="14">
        <f t="shared" si="121"/>
        <v>761.24337321358621</v>
      </c>
    </row>
    <row r="140" spans="16:40" x14ac:dyDescent="0.25">
      <c r="P140" s="13">
        <f t="shared" si="98"/>
        <v>1.0128046819111443</v>
      </c>
      <c r="Q140" s="5">
        <f t="shared" si="99"/>
        <v>756.76149574547901</v>
      </c>
      <c r="R140" s="13">
        <f t="shared" si="100"/>
        <v>1.0093411251331053</v>
      </c>
      <c r="S140" s="14">
        <f t="shared" si="101"/>
        <v>762.73940443000834</v>
      </c>
      <c r="T140" s="5">
        <f t="shared" si="102"/>
        <v>1.0076055091849014</v>
      </c>
      <c r="U140" s="5">
        <f t="shared" si="103"/>
        <v>765.81372226304541</v>
      </c>
      <c r="V140" s="13">
        <f t="shared" si="104"/>
        <v>1.0130367762778654</v>
      </c>
      <c r="W140" s="14">
        <f t="shared" si="105"/>
        <v>762.00984347825283</v>
      </c>
      <c r="X140" s="13">
        <f t="shared" si="106"/>
        <v>1.0109056174767643</v>
      </c>
      <c r="Y140" s="14">
        <f t="shared" si="107"/>
        <v>766.13707799849226</v>
      </c>
      <c r="Z140" s="13">
        <f t="shared" si="108"/>
        <v>1.0084652673783354</v>
      </c>
      <c r="AA140" s="14">
        <f t="shared" si="109"/>
        <v>770.4197011356116</v>
      </c>
      <c r="AB140" s="5">
        <f t="shared" si="110"/>
        <v>1.0118594490439843</v>
      </c>
      <c r="AC140" s="14">
        <f t="shared" si="111"/>
        <v>778.54475591461267</v>
      </c>
      <c r="AD140" s="13">
        <f t="shared" si="112"/>
        <v>1.0097455845525398</v>
      </c>
      <c r="AE140" s="14">
        <f t="shared" si="113"/>
        <v>782.41374300695213</v>
      </c>
      <c r="AF140" s="13">
        <f t="shared" si="114"/>
        <v>1.0073196714919088</v>
      </c>
      <c r="AG140" s="14">
        <f t="shared" si="115"/>
        <v>786.65364553854283</v>
      </c>
      <c r="AI140" s="13">
        <f t="shared" si="116"/>
        <v>1.0569278835316158</v>
      </c>
      <c r="AJ140" s="14">
        <f t="shared" si="117"/>
        <v>760.91147312639691</v>
      </c>
      <c r="AK140" s="13">
        <f t="shared" si="118"/>
        <v>1.0569278835316158</v>
      </c>
      <c r="AL140" s="14">
        <f t="shared" si="119"/>
        <v>761.24337321358621</v>
      </c>
      <c r="AM140" s="13">
        <f t="shared" si="120"/>
        <v>1.0569278835316158</v>
      </c>
      <c r="AN140" s="14">
        <f t="shared" si="121"/>
        <v>761.24337321358621</v>
      </c>
    </row>
    <row r="141" spans="16:40" x14ac:dyDescent="0.25">
      <c r="P141" s="13">
        <f t="shared" si="98"/>
        <v>1.0128046819111443</v>
      </c>
      <c r="Q141" s="5">
        <f t="shared" si="99"/>
        <v>756.76149574547901</v>
      </c>
      <c r="R141" s="13">
        <f t="shared" si="100"/>
        <v>1.0093411251331053</v>
      </c>
      <c r="S141" s="14">
        <f t="shared" si="101"/>
        <v>762.73940443000834</v>
      </c>
      <c r="T141" s="5">
        <f t="shared" si="102"/>
        <v>1.0076055091849014</v>
      </c>
      <c r="U141" s="5">
        <f t="shared" si="103"/>
        <v>765.81372226304541</v>
      </c>
      <c r="V141" s="13">
        <f t="shared" si="104"/>
        <v>1.0130367762778654</v>
      </c>
      <c r="W141" s="14">
        <f t="shared" si="105"/>
        <v>762.00984347825283</v>
      </c>
      <c r="X141" s="13">
        <f t="shared" si="106"/>
        <v>1.0109056174767643</v>
      </c>
      <c r="Y141" s="14">
        <f t="shared" si="107"/>
        <v>766.13707799849226</v>
      </c>
      <c r="Z141" s="13">
        <f t="shared" si="108"/>
        <v>1.0084652673783354</v>
      </c>
      <c r="AA141" s="14">
        <f t="shared" si="109"/>
        <v>770.4197011356116</v>
      </c>
      <c r="AB141" s="5">
        <f t="shared" si="110"/>
        <v>1.0118594490439843</v>
      </c>
      <c r="AC141" s="14">
        <f t="shared" si="111"/>
        <v>778.54475591461267</v>
      </c>
      <c r="AD141" s="13">
        <f t="shared" si="112"/>
        <v>1.0097455845525398</v>
      </c>
      <c r="AE141" s="14">
        <f t="shared" si="113"/>
        <v>782.41374300695213</v>
      </c>
      <c r="AF141" s="13">
        <f t="shared" si="114"/>
        <v>1.0073196714919088</v>
      </c>
      <c r="AG141" s="14">
        <f t="shared" si="115"/>
        <v>786.65364553854283</v>
      </c>
      <c r="AI141" s="13">
        <f t="shared" si="116"/>
        <v>1.0569278835316158</v>
      </c>
      <c r="AJ141" s="14">
        <f t="shared" si="117"/>
        <v>760.91147312639691</v>
      </c>
      <c r="AK141" s="13">
        <f t="shared" si="118"/>
        <v>1.0569278835316158</v>
      </c>
      <c r="AL141" s="14">
        <f t="shared" si="119"/>
        <v>761.24337321358621</v>
      </c>
      <c r="AM141" s="13">
        <f t="shared" si="120"/>
        <v>1.0569278835316158</v>
      </c>
      <c r="AN141" s="14">
        <f t="shared" si="121"/>
        <v>761.24337321358621</v>
      </c>
    </row>
    <row r="142" spans="16:40" x14ac:dyDescent="0.25">
      <c r="P142" s="13">
        <f t="shared" si="98"/>
        <v>1.0128046819111443</v>
      </c>
      <c r="Q142" s="5">
        <f t="shared" si="99"/>
        <v>756.76149574547901</v>
      </c>
      <c r="R142" s="13">
        <f t="shared" si="100"/>
        <v>1.0093411251331053</v>
      </c>
      <c r="S142" s="14">
        <f t="shared" si="101"/>
        <v>762.73940443000834</v>
      </c>
      <c r="T142" s="5">
        <f t="shared" si="102"/>
        <v>1.0076055091849014</v>
      </c>
      <c r="U142" s="5">
        <f t="shared" si="103"/>
        <v>765.81372226304541</v>
      </c>
      <c r="V142" s="13">
        <f t="shared" si="104"/>
        <v>1.0130367762778654</v>
      </c>
      <c r="W142" s="14">
        <f t="shared" si="105"/>
        <v>762.00984347825283</v>
      </c>
      <c r="X142" s="13">
        <f t="shared" si="106"/>
        <v>1.0109056174767643</v>
      </c>
      <c r="Y142" s="14">
        <f t="shared" si="107"/>
        <v>766.13707799849226</v>
      </c>
      <c r="Z142" s="13">
        <f t="shared" si="108"/>
        <v>1.0084652673783354</v>
      </c>
      <c r="AA142" s="14">
        <f t="shared" si="109"/>
        <v>770.4197011356116</v>
      </c>
      <c r="AB142" s="5">
        <f t="shared" si="110"/>
        <v>1.0118594490439843</v>
      </c>
      <c r="AC142" s="14">
        <f t="shared" si="111"/>
        <v>778.54475591461267</v>
      </c>
      <c r="AD142" s="13">
        <f t="shared" si="112"/>
        <v>1.0097455845525398</v>
      </c>
      <c r="AE142" s="14">
        <f t="shared" si="113"/>
        <v>782.41374300695213</v>
      </c>
      <c r="AF142" s="13">
        <f t="shared" si="114"/>
        <v>1.0073196714919088</v>
      </c>
      <c r="AG142" s="14">
        <f t="shared" si="115"/>
        <v>786.65364553854283</v>
      </c>
      <c r="AI142" s="13">
        <f t="shared" si="116"/>
        <v>1.0569278835316158</v>
      </c>
      <c r="AJ142" s="14">
        <f t="shared" si="117"/>
        <v>760.91147312639691</v>
      </c>
      <c r="AK142" s="13">
        <f t="shared" si="118"/>
        <v>1.0569278835316158</v>
      </c>
      <c r="AL142" s="14">
        <f t="shared" si="119"/>
        <v>761.24337321358621</v>
      </c>
      <c r="AM142" s="13">
        <f t="shared" si="120"/>
        <v>1.0569278835316158</v>
      </c>
      <c r="AN142" s="14">
        <f t="shared" si="121"/>
        <v>761.24337321358621</v>
      </c>
    </row>
    <row r="143" spans="16:40" x14ac:dyDescent="0.25">
      <c r="P143" s="13">
        <f t="shared" si="98"/>
        <v>1.0128046819111443</v>
      </c>
      <c r="Q143" s="5">
        <f t="shared" si="99"/>
        <v>756.76149574547901</v>
      </c>
      <c r="R143" s="13">
        <f t="shared" si="100"/>
        <v>1.0093411251331053</v>
      </c>
      <c r="S143" s="14">
        <f t="shared" si="101"/>
        <v>762.73940443000834</v>
      </c>
      <c r="T143" s="5">
        <f t="shared" si="102"/>
        <v>1.0076055091849014</v>
      </c>
      <c r="U143" s="5">
        <f t="shared" si="103"/>
        <v>765.81372226304541</v>
      </c>
      <c r="V143" s="13">
        <f t="shared" si="104"/>
        <v>1.0130367762778654</v>
      </c>
      <c r="W143" s="14">
        <f t="shared" si="105"/>
        <v>762.00984347825283</v>
      </c>
      <c r="X143" s="13">
        <f t="shared" si="106"/>
        <v>1.0109056174767643</v>
      </c>
      <c r="Y143" s="14">
        <f t="shared" si="107"/>
        <v>766.13707799849226</v>
      </c>
      <c r="Z143" s="13">
        <f t="shared" si="108"/>
        <v>1.0084652673783354</v>
      </c>
      <c r="AA143" s="14">
        <f t="shared" si="109"/>
        <v>770.4197011356116</v>
      </c>
      <c r="AB143" s="5">
        <f t="shared" si="110"/>
        <v>1.0118594490439843</v>
      </c>
      <c r="AC143" s="14">
        <f t="shared" si="111"/>
        <v>778.54475591461267</v>
      </c>
      <c r="AD143" s="13">
        <f t="shared" si="112"/>
        <v>1.0097455845525398</v>
      </c>
      <c r="AE143" s="14">
        <f t="shared" si="113"/>
        <v>782.41374300695213</v>
      </c>
      <c r="AF143" s="13">
        <f t="shared" si="114"/>
        <v>1.0073196714919088</v>
      </c>
      <c r="AG143" s="14">
        <f t="shared" si="115"/>
        <v>786.65364553854283</v>
      </c>
      <c r="AI143" s="13">
        <f t="shared" si="116"/>
        <v>1.0569278835316158</v>
      </c>
      <c r="AJ143" s="14">
        <f t="shared" si="117"/>
        <v>760.91147312639691</v>
      </c>
      <c r="AK143" s="13">
        <f t="shared" si="118"/>
        <v>1.0569278835316158</v>
      </c>
      <c r="AL143" s="14">
        <f t="shared" si="119"/>
        <v>761.24337321358621</v>
      </c>
      <c r="AM143" s="13">
        <f t="shared" si="120"/>
        <v>1.0569278835316158</v>
      </c>
      <c r="AN143" s="14">
        <f t="shared" si="121"/>
        <v>761.24337321358621</v>
      </c>
    </row>
    <row r="144" spans="16:40" x14ac:dyDescent="0.25">
      <c r="P144" s="13">
        <f t="shared" si="98"/>
        <v>1.0128046819111443</v>
      </c>
      <c r="Q144" s="5">
        <f t="shared" si="99"/>
        <v>756.76149574547901</v>
      </c>
      <c r="R144" s="13">
        <f t="shared" si="100"/>
        <v>1.0093411251331053</v>
      </c>
      <c r="S144" s="14">
        <f t="shared" si="101"/>
        <v>762.73940443000834</v>
      </c>
      <c r="T144" s="5">
        <f t="shared" si="102"/>
        <v>1.0076055091849014</v>
      </c>
      <c r="U144" s="5">
        <f t="shared" si="103"/>
        <v>765.81372226304541</v>
      </c>
      <c r="V144" s="13">
        <f t="shared" si="104"/>
        <v>1.0130367762778654</v>
      </c>
      <c r="W144" s="14">
        <f t="shared" si="105"/>
        <v>762.00984347825283</v>
      </c>
      <c r="X144" s="13">
        <f t="shared" si="106"/>
        <v>1.0109056174767643</v>
      </c>
      <c r="Y144" s="14">
        <f t="shared" si="107"/>
        <v>766.13707799849226</v>
      </c>
      <c r="Z144" s="13">
        <f t="shared" si="108"/>
        <v>1.0084652673783354</v>
      </c>
      <c r="AA144" s="14">
        <f t="shared" si="109"/>
        <v>770.4197011356116</v>
      </c>
      <c r="AB144" s="5">
        <f t="shared" si="110"/>
        <v>1.0118594490439843</v>
      </c>
      <c r="AC144" s="14">
        <f t="shared" si="111"/>
        <v>778.54475591461267</v>
      </c>
      <c r="AD144" s="13">
        <f t="shared" si="112"/>
        <v>1.0097455845525398</v>
      </c>
      <c r="AE144" s="14">
        <f t="shared" si="113"/>
        <v>782.41374300695213</v>
      </c>
      <c r="AF144" s="13">
        <f t="shared" si="114"/>
        <v>1.0073196714919088</v>
      </c>
      <c r="AG144" s="14">
        <f t="shared" si="115"/>
        <v>786.65364553854283</v>
      </c>
      <c r="AI144" s="13">
        <f t="shared" si="116"/>
        <v>1.0569278835316158</v>
      </c>
      <c r="AJ144" s="14">
        <f t="shared" si="117"/>
        <v>760.91147312639691</v>
      </c>
      <c r="AK144" s="13">
        <f t="shared" si="118"/>
        <v>1.0569278835316158</v>
      </c>
      <c r="AL144" s="14">
        <f t="shared" si="119"/>
        <v>761.24337321358621</v>
      </c>
      <c r="AM144" s="13">
        <f t="shared" si="120"/>
        <v>1.0569278835316158</v>
      </c>
      <c r="AN144" s="14">
        <f t="shared" si="121"/>
        <v>761.24337321358621</v>
      </c>
    </row>
    <row r="145" spans="16:40" x14ac:dyDescent="0.25">
      <c r="P145" s="13">
        <f t="shared" si="98"/>
        <v>1.0128046819111443</v>
      </c>
      <c r="Q145" s="5">
        <f t="shared" si="99"/>
        <v>756.76149574547901</v>
      </c>
      <c r="R145" s="13">
        <f t="shared" si="100"/>
        <v>1.0093411251331053</v>
      </c>
      <c r="S145" s="14">
        <f t="shared" si="101"/>
        <v>762.73940443000834</v>
      </c>
      <c r="T145" s="5">
        <f t="shared" si="102"/>
        <v>1.0076055091849014</v>
      </c>
      <c r="U145" s="5">
        <f t="shared" si="103"/>
        <v>765.81372226304541</v>
      </c>
      <c r="V145" s="13">
        <f t="shared" si="104"/>
        <v>1.0130367762778654</v>
      </c>
      <c r="W145" s="14">
        <f t="shared" si="105"/>
        <v>762.00984347825283</v>
      </c>
      <c r="X145" s="13">
        <f t="shared" si="106"/>
        <v>1.0109056174767643</v>
      </c>
      <c r="Y145" s="14">
        <f t="shared" si="107"/>
        <v>766.13707799849226</v>
      </c>
      <c r="Z145" s="13">
        <f t="shared" si="108"/>
        <v>1.0084652673783354</v>
      </c>
      <c r="AA145" s="14">
        <f t="shared" si="109"/>
        <v>770.4197011356116</v>
      </c>
      <c r="AB145" s="5">
        <f t="shared" si="110"/>
        <v>1.0118594490439843</v>
      </c>
      <c r="AC145" s="14">
        <f t="shared" si="111"/>
        <v>778.54475591461267</v>
      </c>
      <c r="AD145" s="13">
        <f t="shared" si="112"/>
        <v>1.0097455845525398</v>
      </c>
      <c r="AE145" s="14">
        <f t="shared" si="113"/>
        <v>782.41374300695213</v>
      </c>
      <c r="AF145" s="13">
        <f t="shared" si="114"/>
        <v>1.0073196714919088</v>
      </c>
      <c r="AG145" s="14">
        <f t="shared" si="115"/>
        <v>786.65364553854283</v>
      </c>
      <c r="AI145" s="13">
        <f t="shared" si="116"/>
        <v>1.0569278835316158</v>
      </c>
      <c r="AJ145" s="14">
        <f t="shared" si="117"/>
        <v>760.91147312639691</v>
      </c>
      <c r="AK145" s="13">
        <f t="shared" si="118"/>
        <v>1.0569278835316158</v>
      </c>
      <c r="AL145" s="14">
        <f t="shared" si="119"/>
        <v>761.24337321358621</v>
      </c>
      <c r="AM145" s="13">
        <f t="shared" si="120"/>
        <v>1.0569278835316158</v>
      </c>
      <c r="AN145" s="14">
        <f t="shared" si="121"/>
        <v>761.24337321358621</v>
      </c>
    </row>
    <row r="146" spans="16:40" x14ac:dyDescent="0.25">
      <c r="P146" s="13">
        <f t="shared" si="98"/>
        <v>1.0128046819111443</v>
      </c>
      <c r="Q146" s="5">
        <f t="shared" si="99"/>
        <v>756.76149574547901</v>
      </c>
      <c r="R146" s="13">
        <f t="shared" si="100"/>
        <v>1.0093411251331053</v>
      </c>
      <c r="S146" s="14">
        <f t="shared" si="101"/>
        <v>762.73940443000834</v>
      </c>
      <c r="T146" s="5">
        <f t="shared" si="102"/>
        <v>1.0076055091849014</v>
      </c>
      <c r="U146" s="5">
        <f t="shared" si="103"/>
        <v>765.81372226304541</v>
      </c>
      <c r="V146" s="13">
        <f t="shared" si="104"/>
        <v>1.0130367762778654</v>
      </c>
      <c r="W146" s="14">
        <f t="shared" si="105"/>
        <v>762.00984347825283</v>
      </c>
      <c r="X146" s="13">
        <f t="shared" si="106"/>
        <v>1.0109056174767643</v>
      </c>
      <c r="Y146" s="14">
        <f t="shared" si="107"/>
        <v>766.13707799849226</v>
      </c>
      <c r="Z146" s="13">
        <f t="shared" si="108"/>
        <v>1.0084652673783354</v>
      </c>
      <c r="AA146" s="14">
        <f t="shared" si="109"/>
        <v>770.4197011356116</v>
      </c>
      <c r="AB146" s="5">
        <f t="shared" si="110"/>
        <v>1.0118594490439843</v>
      </c>
      <c r="AC146" s="14">
        <f t="shared" si="111"/>
        <v>778.54475591461267</v>
      </c>
      <c r="AD146" s="13">
        <f t="shared" si="112"/>
        <v>1.0097455845525398</v>
      </c>
      <c r="AE146" s="14">
        <f t="shared" si="113"/>
        <v>782.41374300695213</v>
      </c>
      <c r="AF146" s="13">
        <f t="shared" si="114"/>
        <v>1.0073196714919088</v>
      </c>
      <c r="AG146" s="14">
        <f t="shared" si="115"/>
        <v>786.65364553854283</v>
      </c>
      <c r="AI146" s="13">
        <f t="shared" si="116"/>
        <v>1.0569278835316158</v>
      </c>
      <c r="AJ146" s="14">
        <f t="shared" si="117"/>
        <v>760.91147312639691</v>
      </c>
      <c r="AK146" s="13">
        <f t="shared" si="118"/>
        <v>1.0569278835316158</v>
      </c>
      <c r="AL146" s="14">
        <f t="shared" si="119"/>
        <v>761.24337321358621</v>
      </c>
      <c r="AM146" s="13">
        <f t="shared" si="120"/>
        <v>1.0569278835316158</v>
      </c>
      <c r="AN146" s="14">
        <f t="shared" si="121"/>
        <v>761.24337321358621</v>
      </c>
    </row>
    <row r="147" spans="16:40" x14ac:dyDescent="0.25">
      <c r="P147" s="13">
        <f t="shared" si="98"/>
        <v>1.0128046819111443</v>
      </c>
      <c r="Q147" s="5">
        <f t="shared" si="99"/>
        <v>756.76149574547901</v>
      </c>
      <c r="R147" s="13">
        <f t="shared" si="100"/>
        <v>1.0093411251331053</v>
      </c>
      <c r="S147" s="14">
        <f t="shared" si="101"/>
        <v>762.73940443000834</v>
      </c>
      <c r="T147" s="5">
        <f t="shared" si="102"/>
        <v>1.0076055091849014</v>
      </c>
      <c r="U147" s="5">
        <f t="shared" si="103"/>
        <v>765.81372226304541</v>
      </c>
      <c r="V147" s="13">
        <f t="shared" si="104"/>
        <v>1.0130367762778654</v>
      </c>
      <c r="W147" s="14">
        <f t="shared" si="105"/>
        <v>762.00984347825283</v>
      </c>
      <c r="X147" s="13">
        <f t="shared" si="106"/>
        <v>1.0109056174767643</v>
      </c>
      <c r="Y147" s="14">
        <f t="shared" si="107"/>
        <v>766.13707799849226</v>
      </c>
      <c r="Z147" s="13">
        <f t="shared" si="108"/>
        <v>1.0084652673783354</v>
      </c>
      <c r="AA147" s="14">
        <f t="shared" si="109"/>
        <v>770.4197011356116</v>
      </c>
      <c r="AB147" s="5">
        <f t="shared" si="110"/>
        <v>1.0118594490439843</v>
      </c>
      <c r="AC147" s="14">
        <f t="shared" si="111"/>
        <v>778.54475591461267</v>
      </c>
      <c r="AD147" s="13">
        <f t="shared" si="112"/>
        <v>1.0097455845525398</v>
      </c>
      <c r="AE147" s="14">
        <f t="shared" si="113"/>
        <v>782.41374300695213</v>
      </c>
      <c r="AF147" s="13">
        <f t="shared" si="114"/>
        <v>1.0073196714919088</v>
      </c>
      <c r="AG147" s="14">
        <f t="shared" si="115"/>
        <v>786.65364553854283</v>
      </c>
      <c r="AI147" s="13">
        <f t="shared" si="116"/>
        <v>1.0569278835316158</v>
      </c>
      <c r="AJ147" s="14">
        <f t="shared" si="117"/>
        <v>760.91147312639691</v>
      </c>
      <c r="AK147" s="13">
        <f t="shared" si="118"/>
        <v>1.0569278835316158</v>
      </c>
      <c r="AL147" s="14">
        <f t="shared" si="119"/>
        <v>761.24337321358621</v>
      </c>
      <c r="AM147" s="13">
        <f t="shared" si="120"/>
        <v>1.0569278835316158</v>
      </c>
      <c r="AN147" s="14">
        <f t="shared" si="121"/>
        <v>761.24337321358621</v>
      </c>
    </row>
    <row r="148" spans="16:40" x14ac:dyDescent="0.25">
      <c r="P148" s="13">
        <f t="shared" si="98"/>
        <v>1.0128046819111443</v>
      </c>
      <c r="Q148" s="5">
        <f t="shared" si="99"/>
        <v>756.76149574547901</v>
      </c>
      <c r="R148" s="13">
        <f t="shared" si="100"/>
        <v>1.0093411251331053</v>
      </c>
      <c r="S148" s="14">
        <f t="shared" si="101"/>
        <v>762.73940443000834</v>
      </c>
      <c r="T148" s="5">
        <f t="shared" si="102"/>
        <v>1.0076055091849014</v>
      </c>
      <c r="U148" s="5">
        <f t="shared" si="103"/>
        <v>765.81372226304541</v>
      </c>
      <c r="V148" s="13">
        <f t="shared" si="104"/>
        <v>1.0130367762778654</v>
      </c>
      <c r="W148" s="14">
        <f t="shared" si="105"/>
        <v>762.00984347825283</v>
      </c>
      <c r="X148" s="13">
        <f t="shared" si="106"/>
        <v>1.0109056174767643</v>
      </c>
      <c r="Y148" s="14">
        <f t="shared" si="107"/>
        <v>766.13707799849226</v>
      </c>
      <c r="Z148" s="13">
        <f t="shared" si="108"/>
        <v>1.0084652673783354</v>
      </c>
      <c r="AA148" s="14">
        <f t="shared" si="109"/>
        <v>770.4197011356116</v>
      </c>
      <c r="AB148" s="5">
        <f t="shared" si="110"/>
        <v>1.0118594490439843</v>
      </c>
      <c r="AC148" s="14">
        <f t="shared" si="111"/>
        <v>778.54475591461267</v>
      </c>
      <c r="AD148" s="13">
        <f t="shared" si="112"/>
        <v>1.0097455845525398</v>
      </c>
      <c r="AE148" s="14">
        <f t="shared" si="113"/>
        <v>782.41374300695213</v>
      </c>
      <c r="AF148" s="13">
        <f t="shared" si="114"/>
        <v>1.0073196714919088</v>
      </c>
      <c r="AG148" s="14">
        <f t="shared" si="115"/>
        <v>786.65364553854283</v>
      </c>
      <c r="AI148" s="13">
        <f t="shared" si="116"/>
        <v>1.0569278835316158</v>
      </c>
      <c r="AJ148" s="14">
        <f t="shared" si="117"/>
        <v>760.91147312639691</v>
      </c>
      <c r="AK148" s="13">
        <f t="shared" si="118"/>
        <v>1.0569278835316158</v>
      </c>
      <c r="AL148" s="14">
        <f t="shared" si="119"/>
        <v>761.24337321358621</v>
      </c>
      <c r="AM148" s="13">
        <f t="shared" si="120"/>
        <v>1.0569278835316158</v>
      </c>
      <c r="AN148" s="14">
        <f t="shared" si="121"/>
        <v>761.24337321358621</v>
      </c>
    </row>
    <row r="149" spans="16:40" x14ac:dyDescent="0.25">
      <c r="P149" s="13">
        <f t="shared" si="98"/>
        <v>1.0128046819111443</v>
      </c>
      <c r="Q149" s="5">
        <f t="shared" si="99"/>
        <v>756.76149574547901</v>
      </c>
      <c r="R149" s="13">
        <f t="shared" si="100"/>
        <v>1.0093411251331053</v>
      </c>
      <c r="S149" s="14">
        <f t="shared" si="101"/>
        <v>762.73940443000834</v>
      </c>
      <c r="T149" s="5">
        <f t="shared" si="102"/>
        <v>1.0076055091849014</v>
      </c>
      <c r="U149" s="5">
        <f t="shared" si="103"/>
        <v>765.81372226304541</v>
      </c>
      <c r="V149" s="13">
        <f t="shared" si="104"/>
        <v>1.0130367762778654</v>
      </c>
      <c r="W149" s="14">
        <f t="shared" si="105"/>
        <v>762.00984347825283</v>
      </c>
      <c r="X149" s="13">
        <f t="shared" si="106"/>
        <v>1.0109056174767643</v>
      </c>
      <c r="Y149" s="14">
        <f t="shared" si="107"/>
        <v>766.13707799849226</v>
      </c>
      <c r="Z149" s="13">
        <f t="shared" si="108"/>
        <v>1.0084652673783354</v>
      </c>
      <c r="AA149" s="14">
        <f t="shared" si="109"/>
        <v>770.4197011356116</v>
      </c>
      <c r="AB149" s="5">
        <f t="shared" si="110"/>
        <v>1.0118594490439843</v>
      </c>
      <c r="AC149" s="14">
        <f t="shared" si="111"/>
        <v>778.54475591461267</v>
      </c>
      <c r="AD149" s="13">
        <f t="shared" si="112"/>
        <v>1.0097455845525398</v>
      </c>
      <c r="AE149" s="14">
        <f t="shared" si="113"/>
        <v>782.41374300695213</v>
      </c>
      <c r="AF149" s="13">
        <f t="shared" si="114"/>
        <v>1.0073196714919088</v>
      </c>
      <c r="AG149" s="14">
        <f t="shared" si="115"/>
        <v>786.65364553854283</v>
      </c>
      <c r="AI149" s="13">
        <f t="shared" si="116"/>
        <v>1.0569278835316158</v>
      </c>
      <c r="AJ149" s="14">
        <f t="shared" si="117"/>
        <v>760.91147312639691</v>
      </c>
      <c r="AK149" s="13">
        <f t="shared" si="118"/>
        <v>1.0569278835316158</v>
      </c>
      <c r="AL149" s="14">
        <f t="shared" si="119"/>
        <v>761.24337321358621</v>
      </c>
      <c r="AM149" s="13">
        <f t="shared" si="120"/>
        <v>1.0569278835316158</v>
      </c>
      <c r="AN149" s="14">
        <f t="shared" si="121"/>
        <v>761.24337321358621</v>
      </c>
    </row>
    <row r="150" spans="16:40" ht="15.75" thickBot="1" x14ac:dyDescent="0.3">
      <c r="P150" s="70">
        <f t="shared" si="98"/>
        <v>1.0128046819111443</v>
      </c>
      <c r="Q150" s="10">
        <f>(-53.07+(304.9*P150)+(90.8*$B$14)-(3.13*$B$14^2))</f>
        <v>756.76149574547901</v>
      </c>
      <c r="R150" s="70">
        <f t="shared" si="100"/>
        <v>1.0093411251331053</v>
      </c>
      <c r="S150" s="71">
        <f t="shared" si="101"/>
        <v>762.73940443000834</v>
      </c>
      <c r="T150" s="10">
        <f t="shared" si="102"/>
        <v>1.0076055091849014</v>
      </c>
      <c r="U150" s="10">
        <f t="shared" si="103"/>
        <v>765.81372226304541</v>
      </c>
      <c r="V150" s="70">
        <f t="shared" si="104"/>
        <v>1.0130367762778654</v>
      </c>
      <c r="W150" s="71">
        <f t="shared" si="105"/>
        <v>762.00984347825283</v>
      </c>
      <c r="X150" s="70">
        <f t="shared" si="106"/>
        <v>1.0109056174767643</v>
      </c>
      <c r="Y150" s="71">
        <f t="shared" si="107"/>
        <v>766.13707799849226</v>
      </c>
      <c r="Z150" s="70">
        <f t="shared" si="108"/>
        <v>1.0084652673783354</v>
      </c>
      <c r="AA150" s="71">
        <f t="shared" si="109"/>
        <v>770.4197011356116</v>
      </c>
      <c r="AB150" s="10">
        <f t="shared" si="110"/>
        <v>1.0118594490439843</v>
      </c>
      <c r="AC150" s="71">
        <f t="shared" si="111"/>
        <v>778.54475591461267</v>
      </c>
      <c r="AD150" s="70">
        <f t="shared" si="112"/>
        <v>1.0097455845525398</v>
      </c>
      <c r="AE150" s="71">
        <f t="shared" si="113"/>
        <v>782.41374300695213</v>
      </c>
      <c r="AF150" s="70">
        <f t="shared" si="114"/>
        <v>1.0073196714919088</v>
      </c>
      <c r="AG150" s="71">
        <f t="shared" si="115"/>
        <v>786.65364553854283</v>
      </c>
      <c r="AI150" s="70">
        <f t="shared" si="116"/>
        <v>1.0569278835316158</v>
      </c>
      <c r="AJ150" s="71">
        <f t="shared" si="117"/>
        <v>760.91147312639691</v>
      </c>
      <c r="AK150" s="70">
        <f t="shared" si="118"/>
        <v>1.0569278835316158</v>
      </c>
      <c r="AL150" s="71">
        <f t="shared" si="119"/>
        <v>761.24337321358621</v>
      </c>
      <c r="AM150" s="70">
        <f t="shared" si="120"/>
        <v>1.0569278835316158</v>
      </c>
      <c r="AN150" s="71">
        <f t="shared" si="121"/>
        <v>761.24337321358621</v>
      </c>
    </row>
    <row r="151" spans="16:40" ht="15.75" thickBot="1" x14ac:dyDescent="0.3"/>
    <row r="152" spans="16:40" ht="15.75" thickBot="1" x14ac:dyDescent="0.3">
      <c r="P152" s="81" t="s">
        <v>151</v>
      </c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3"/>
      <c r="AI152" s="84" t="s">
        <v>150</v>
      </c>
      <c r="AJ152" s="85"/>
      <c r="AK152" s="85"/>
      <c r="AL152" s="85"/>
      <c r="AM152" s="85"/>
      <c r="AN152" s="86"/>
    </row>
    <row r="153" spans="16:40" ht="15.75" thickBot="1" x14ac:dyDescent="0.3">
      <c r="P153" s="90" t="s">
        <v>143</v>
      </c>
      <c r="Q153" s="90"/>
      <c r="R153" s="90"/>
      <c r="S153" s="90"/>
      <c r="T153" s="90"/>
      <c r="U153" s="90"/>
      <c r="V153" s="90" t="s">
        <v>144</v>
      </c>
      <c r="W153" s="90"/>
      <c r="X153" s="90"/>
      <c r="Y153" s="90"/>
      <c r="Z153" s="90"/>
      <c r="AA153" s="90"/>
      <c r="AB153" s="90" t="s">
        <v>145</v>
      </c>
      <c r="AC153" s="90"/>
      <c r="AD153" s="90"/>
      <c r="AE153" s="90"/>
      <c r="AF153" s="90"/>
      <c r="AG153" s="90"/>
      <c r="AI153" s="87"/>
      <c r="AJ153" s="88"/>
      <c r="AK153" s="88"/>
      <c r="AL153" s="88"/>
      <c r="AM153" s="88"/>
      <c r="AN153" s="89"/>
    </row>
    <row r="154" spans="16:40" ht="15.75" thickBot="1" x14ac:dyDescent="0.3">
      <c r="P154" s="90" t="s">
        <v>28</v>
      </c>
      <c r="Q154" s="90"/>
      <c r="R154" s="90" t="s">
        <v>29</v>
      </c>
      <c r="S154" s="90"/>
      <c r="T154" s="90" t="s">
        <v>30</v>
      </c>
      <c r="U154" s="90"/>
      <c r="V154" s="90" t="s">
        <v>28</v>
      </c>
      <c r="W154" s="90"/>
      <c r="X154" s="90" t="s">
        <v>29</v>
      </c>
      <c r="Y154" s="90"/>
      <c r="Z154" s="90" t="s">
        <v>30</v>
      </c>
      <c r="AA154" s="90"/>
      <c r="AB154" s="90" t="s">
        <v>28</v>
      </c>
      <c r="AC154" s="90"/>
      <c r="AD154" s="90" t="s">
        <v>29</v>
      </c>
      <c r="AE154" s="90"/>
      <c r="AF154" s="90" t="s">
        <v>30</v>
      </c>
      <c r="AG154" s="90"/>
      <c r="AI154" s="91" t="s">
        <v>143</v>
      </c>
      <c r="AJ154" s="92"/>
      <c r="AK154" s="91" t="s">
        <v>144</v>
      </c>
      <c r="AL154" s="92"/>
      <c r="AM154" s="91" t="s">
        <v>146</v>
      </c>
      <c r="AN154" s="92"/>
    </row>
    <row r="155" spans="16:40" x14ac:dyDescent="0.25">
      <c r="P155" s="69">
        <f>((120*B14)+(B20-(120*B14)*0.64)/0.8)/1000</f>
        <v>1.4554719104063916</v>
      </c>
      <c r="Q155" s="5">
        <f>(-53.07+(304.9*P155)+(90.8*$B$14)-(3.13*$B$14^2))</f>
        <v>891.73073371368002</v>
      </c>
      <c r="R155" s="69">
        <f>((120*C14)+(C20-(120*C14)*0.64)/0.8)/1000</f>
        <v>1.499034808876738</v>
      </c>
      <c r="S155" s="12">
        <f>(-53.07+(304.9*R155)+(90.8*$C$14)-(3.13*$C$14^2))</f>
        <v>912.04700860344201</v>
      </c>
      <c r="T155" s="69">
        <f>((120*D14)+(D20-(120*D14)*0.64)/0.8)/1000</f>
        <v>1.5228927317355179</v>
      </c>
      <c r="U155" s="12">
        <f>(-53.07+(304.9*T155)+(90.8*$D$14)-(3.13*$D$14^2))</f>
        <v>922.92479641872831</v>
      </c>
      <c r="V155" s="69">
        <f>((120*E14)+(E20-(120*E14)*0.64)/0.8)/1000</f>
        <v>1.45579443867436</v>
      </c>
      <c r="W155" s="12">
        <f>(-53.07+(304.9*V155)+(90.8*$E$14)-(3.13*$E$14^2))</f>
        <v>897.00665474294397</v>
      </c>
      <c r="X155" s="69">
        <f>((120*F14)+(F20-(120*F14)*0.64)/0.8)/1000</f>
        <v>1.4821452993766993</v>
      </c>
      <c r="Y155" s="12">
        <f>(-53.07+(304.9*X155)+(90.8*$F$14)-(3.13*$F$14^2))</f>
        <v>909.81805700978225</v>
      </c>
      <c r="Z155" s="69">
        <f>((120*G14)+(G20-(120*G14)*0.64)/0.8)/1000</f>
        <v>1.514363078213582</v>
      </c>
      <c r="AA155" s="12">
        <f>(-53.07+(304.9*Z155)+(90.8*$G$14)-(3.13*$G$14^2))</f>
        <v>924.66794365927831</v>
      </c>
      <c r="AB155" s="69">
        <f>((120*H14)+(H20-(120*H14)*0.64)/0.8)/1000</f>
        <v>1.4580655231540605</v>
      </c>
      <c r="AC155" s="12">
        <f>(-53.07+(304.9*AB155)+(90.8*$H$14)-(3.13*$H$14^2))</f>
        <v>914.59298791077492</v>
      </c>
      <c r="AD155" s="69">
        <f>((120*I14)+(I20-(120*I14)*0.64)/0.8)/1000</f>
        <v>1.4838089094321567</v>
      </c>
      <c r="AE155" s="12">
        <f>(-53.07+(304.9*AD155)+(90.8*$I$14)-(3.13*$I$14^2))</f>
        <v>926.95565076274727</v>
      </c>
      <c r="AF155" s="69">
        <f>((120*J14)+(J20-(120*J14)*0.64)/0.8)/1000</f>
        <v>1.515442457670356</v>
      </c>
      <c r="AG155" s="12">
        <f>(-53.07+(304.9*AF155)+(90.8*$J$14)-(3.13*$J$14^2))</f>
        <v>941.58028304435129</v>
      </c>
      <c r="AI155" s="69">
        <f>((120*L14)+(L20-(120*L14)*0.64)/0.8)/1000</f>
        <v>1.451160407273604</v>
      </c>
      <c r="AJ155" s="12">
        <f>(-53.07+(304.9*AI155)+(90.8*$L$14)-(3.13*$L$14^2))</f>
        <v>881.11296961532912</v>
      </c>
      <c r="AK155" s="69">
        <f>((120*M14)+(M20-(120*M14)*0.64)/0.8)/1000</f>
        <v>1.4513348059602367</v>
      </c>
      <c r="AL155" s="12">
        <f>(-53.07+(304.9*AK155)+(90.8*$M$14)-(3.13*$M$14^2))</f>
        <v>881.49804386207279</v>
      </c>
      <c r="AM155" s="69">
        <f>((120*M14)+(N20-(120*M14)*0.64)/0.8)/1000</f>
        <v>1.4513348059602367</v>
      </c>
      <c r="AN155" s="12">
        <f>(-53.07+(304.9*AM155)+(90.8*$M$14)-(3.13*$M$14^2))</f>
        <v>881.49804386207279</v>
      </c>
    </row>
    <row r="156" spans="16:40" x14ac:dyDescent="0.25">
      <c r="P156" s="13">
        <f>(P155+($B$20-(P155*0.64))/0.8)/1000</f>
        <v>1.2778896595694789</v>
      </c>
      <c r="Q156" s="14">
        <f>(-53.07+(304.9*P156)+(90.8*$B$14)-(3.13*$B$14^2))</f>
        <v>837.58590543350522</v>
      </c>
      <c r="R156" s="13">
        <f>(R155+($C$20-(R155*0.64))/0.8)/1000</f>
        <v>1.3176161154685679</v>
      </c>
      <c r="S156" s="14">
        <f>(-53.07+(304.9*R156)+(90.8*$C$14)-(3.13*$C$14^2))</f>
        <v>856.73244898329085</v>
      </c>
      <c r="T156" s="13">
        <f>(T155+($D$20-(T155*0.64))/0.8)/1000</f>
        <v>1.3394740915174419</v>
      </c>
      <c r="U156" s="14">
        <f>(-53.07+(304.9*T156)+(90.8*$D$14)-(3.13*$D$14^2))</f>
        <v>867.0004530162372</v>
      </c>
      <c r="V156" s="13">
        <f>(V155+($E$20-(V155*0.64))/0.8)/1000</f>
        <v>1.275390469921541</v>
      </c>
      <c r="W156" s="14">
        <f>(-53.07+(304.9*V156)+(90.8*$E$14)-(3.13*$E$14^2))</f>
        <v>842.00148467020949</v>
      </c>
      <c r="X156" s="13">
        <f>(X155+($F$20-(X155*0.64))/0.8)/1000</f>
        <v>1.2991002672060001</v>
      </c>
      <c r="Y156" s="14">
        <f>(-53.07+(304.9*X156)+(90.8*$F$14)-(3.13*$F$14^2))</f>
        <v>854.00762670093627</v>
      </c>
      <c r="Z156" s="13">
        <f>(Z155+($G$20-(Z155*0.64))/0.8)/1000</f>
        <v>1.3284931642547262</v>
      </c>
      <c r="AA156" s="14">
        <f>(-53.07+(304.9*Z156)+(90.8*$G$14)-(3.13*$G$14^2))</f>
        <v>867.99620689322296</v>
      </c>
      <c r="AB156" s="13">
        <f>(AB155+($H$20-(AB155*0.64))/0.8)/1000</f>
        <v>1.2681044444387148</v>
      </c>
      <c r="AC156" s="14">
        <f>(-53.07+(304.9*AB156)+(90.8*$H$14)-(3.13*$H$14^2))</f>
        <v>856.67385501046613</v>
      </c>
      <c r="AD156" s="13">
        <f>(AD155+($I$20-(AD155*0.64))/0.8)/1000</f>
        <v>1.2911999114750836</v>
      </c>
      <c r="AE156" s="14">
        <f>(-53.07+(304.9*AD156)+(90.8*$I$14)-(3.13*$I$14^2))</f>
        <v>868.22916728563575</v>
      </c>
      <c r="AF156" s="13">
        <f>(AF155+($J$20-(AF155*0.64))/0.8)/1000</f>
        <v>1.3198591289394896</v>
      </c>
      <c r="AG156" s="14">
        <f>(-53.07+(304.9*AF156)+(90.8*$J$14)-(3.13*$J$14^2))</f>
        <v>881.94692611431037</v>
      </c>
      <c r="AI156" s="13">
        <f>(AI155+($L$20-(AI155*0.64))/0.8)/1000</f>
        <v>1.2785333705484405</v>
      </c>
      <c r="AJ156" s="14">
        <f>(-53.07+(304.9*AI156)+(90.8*$L$14)-(3.13*$L$14^2))</f>
        <v>828.47898611782671</v>
      </c>
      <c r="AK156" s="13">
        <f>(AK155+($M$20-(AK155*0.64))/0.8)/1000</f>
        <v>1.2785334054281778</v>
      </c>
      <c r="AL156" s="14">
        <f>(-53.07+(304.9*AK156)+(90.8*$M$14)-(3.13*$M$14^2))</f>
        <v>828.81089683984806</v>
      </c>
      <c r="AM156" s="13">
        <f>(AM155+($N$20-(AM155*0.64))/0.8)/1000</f>
        <v>1.2785334054281778</v>
      </c>
      <c r="AN156" s="14">
        <f>(-53.07+(304.9*AM156)+(90.8*$M$14)-(3.13*$M$14^2))</f>
        <v>828.81089683984806</v>
      </c>
    </row>
    <row r="157" spans="16:40" x14ac:dyDescent="0.25">
      <c r="P157" s="13">
        <f t="shared" ref="P157:P220" si="124">(P156+($B$20-(P156*0.64))/0.8)/1000</f>
        <v>1.2778541431193111</v>
      </c>
      <c r="Q157" s="14">
        <f t="shared" ref="Q157:Q220" si="125">(-53.07+(304.9*P157)+(90.8*$B$14)-(3.13*$B$14^2))</f>
        <v>837.57507646784904</v>
      </c>
      <c r="R157" s="13">
        <f t="shared" ref="R157:R220" si="126">(R156+($C$20-(R156*0.64))/0.8)/1000</f>
        <v>1.3175798317298861</v>
      </c>
      <c r="S157" s="14">
        <f>(-53.07+(304.9*R157)+(90.8*$C$14)-(3.13*$C$14^2))</f>
        <v>856.72138607136685</v>
      </c>
      <c r="T157" s="13">
        <f t="shared" ref="T157:T220" si="127">(T156+($D$20-(T156*0.64))/0.8)/1000</f>
        <v>1.339437407789398</v>
      </c>
      <c r="U157" s="14">
        <f t="shared" ref="U157:U220" si="128">(-53.07+(304.9*T157)+(90.8*$D$14)-(3.13*$D$14^2))</f>
        <v>866.98926814755657</v>
      </c>
      <c r="V157" s="13">
        <f t="shared" ref="V157:V220" si="129">(V156+($E$20-(V156*0.64))/0.8)/1000</f>
        <v>1.2753543891277908</v>
      </c>
      <c r="W157" s="14">
        <f t="shared" ref="W157:W220" si="130">(-53.07+(304.9*V157)+(90.8*$E$14)-(3.13*$E$14^2))</f>
        <v>841.99048363619499</v>
      </c>
      <c r="X157" s="13">
        <f t="shared" ref="X157:X220" si="131">(X156+($F$20-(X156*0.64))/0.8)/1000</f>
        <v>1.299063658199566</v>
      </c>
      <c r="Y157" s="14">
        <f t="shared" ref="Y157:Y220" si="132">(-53.07+(304.9*X157)+(90.8*$F$14)-(3.13*$F$14^2))</f>
        <v>853.99646461487441</v>
      </c>
      <c r="Z157" s="13">
        <f t="shared" ref="Z157:Z220" si="133">(Z156+($G$20-(Z156*0.64))/0.8)/1000</f>
        <v>1.3284559902719342</v>
      </c>
      <c r="AA157" s="14">
        <f t="shared" ref="AA157:AA220" si="134">(-53.07+(304.9*Z157)+(90.8*$G$14)-(3.13*$G$14^2))</f>
        <v>867.98487254586985</v>
      </c>
      <c r="AB157" s="13">
        <f t="shared" ref="AB157:AB220" si="135">(AB156+($H$20-(AB156*0.64))/0.8)/1000</f>
        <v>1.2680664522229717</v>
      </c>
      <c r="AC157" s="14">
        <f t="shared" ref="AC157:AC220" si="136">(-53.07+(304.9*AB157)+(90.8*$H$14)-(3.13*$H$14^2))</f>
        <v>856.66227118388599</v>
      </c>
      <c r="AD157" s="13">
        <f t="shared" ref="AD157:AD220" si="137">(AD156+($I$20-(AD156*0.64))/0.8)/1000</f>
        <v>1.2911613896754923</v>
      </c>
      <c r="AE157" s="14">
        <f t="shared" ref="AE157:AE220" si="138">(-53.07+(304.9*AD157)+(90.8*$I$14)-(3.13*$I$14^2))</f>
        <v>868.21742198894037</v>
      </c>
      <c r="AF157" s="13">
        <f t="shared" ref="AF157:AF220" si="139">(AF156+($J$20-(AF156*0.64))/0.8)/1000</f>
        <v>1.3198200122737436</v>
      </c>
      <c r="AG157" s="14">
        <f t="shared" ref="AG157:AG220" si="140">(-53.07+(304.9*AF157)+(90.8*$J$14)-(3.13*$J$14^2))</f>
        <v>881.93499944292421</v>
      </c>
      <c r="AI157" s="13">
        <f t="shared" ref="AI157:AI220" si="141">(AI156+($L$20-(AI156*0.64))/0.8)/1000</f>
        <v>1.2784988451410955</v>
      </c>
      <c r="AJ157" s="14">
        <f t="shared" ref="AJ157:AJ220" si="142">(-53.07+(304.9*AI157)+(90.8*$L$14)-(3.13*$L$14^2))</f>
        <v>828.46845932112728</v>
      </c>
      <c r="AK157" s="13">
        <f t="shared" ref="AK157:AK220" si="143">(AK156+($M$20-(AK156*0.64))/0.8)/1000</f>
        <v>1.2784988451480712</v>
      </c>
      <c r="AL157" s="14">
        <f t="shared" ref="AL157:AL220" si="144">(-53.07+(304.9*AK157)+(90.8*$M$14)-(3.13*$M$14^2))</f>
        <v>828.80035941044355</v>
      </c>
      <c r="AM157" s="13">
        <f t="shared" ref="AM157:AM220" si="145">(AM156+($N$20-(AM156*0.64))/0.8)/1000</f>
        <v>1.2784988451480712</v>
      </c>
      <c r="AN157" s="14">
        <f t="shared" ref="AN157:AN220" si="146">(-53.07+(304.9*AM157)+(90.8*$M$14)-(3.13*$M$14^2))</f>
        <v>828.80035941044355</v>
      </c>
    </row>
    <row r="158" spans="16:40" x14ac:dyDescent="0.25">
      <c r="P158" s="13">
        <f t="shared" si="124"/>
        <v>1.2778541360160214</v>
      </c>
      <c r="Q158" s="14">
        <f t="shared" si="125"/>
        <v>837.57507430205612</v>
      </c>
      <c r="R158" s="13">
        <f t="shared" si="126"/>
        <v>1.3175798244731385</v>
      </c>
      <c r="S158" s="14">
        <f t="shared" ref="S158:S220" si="147">(-53.07+(304.9*R158)+(90.8*$C$14)-(3.13*$C$14^2))</f>
        <v>856.72138385878452</v>
      </c>
      <c r="T158" s="13">
        <f t="shared" si="127"/>
        <v>1.3394374004526526</v>
      </c>
      <c r="U158" s="14">
        <f t="shared" si="128"/>
        <v>866.98926591058273</v>
      </c>
      <c r="V158" s="13">
        <f t="shared" si="129"/>
        <v>1.275354381911632</v>
      </c>
      <c r="W158" s="14">
        <f t="shared" si="130"/>
        <v>841.99048143598816</v>
      </c>
      <c r="X158" s="13">
        <f t="shared" si="131"/>
        <v>1.2990636508777647</v>
      </c>
      <c r="Y158" s="14">
        <f t="shared" si="132"/>
        <v>853.99646238245714</v>
      </c>
      <c r="Z158" s="13">
        <f t="shared" si="133"/>
        <v>1.3284559828371378</v>
      </c>
      <c r="AA158" s="14">
        <f t="shared" si="134"/>
        <v>867.98487027900046</v>
      </c>
      <c r="AB158" s="13">
        <f t="shared" si="135"/>
        <v>1.2680664446245284</v>
      </c>
      <c r="AC158" s="14">
        <f t="shared" si="136"/>
        <v>856.66226886712059</v>
      </c>
      <c r="AD158" s="13">
        <f t="shared" si="137"/>
        <v>1.2911613819711323</v>
      </c>
      <c r="AE158" s="14">
        <f t="shared" si="138"/>
        <v>868.21741963988086</v>
      </c>
      <c r="AF158" s="13">
        <f t="shared" si="139"/>
        <v>1.3198200044504103</v>
      </c>
      <c r="AG158" s="14">
        <f t="shared" si="140"/>
        <v>881.93499705758995</v>
      </c>
      <c r="AI158" s="13">
        <f t="shared" si="141"/>
        <v>1.2784988382360138</v>
      </c>
      <c r="AJ158" s="14">
        <f t="shared" si="142"/>
        <v>828.46845721576778</v>
      </c>
      <c r="AK158" s="13">
        <f t="shared" si="143"/>
        <v>1.2784988382360152</v>
      </c>
      <c r="AL158" s="14">
        <f t="shared" si="144"/>
        <v>828.80035730295765</v>
      </c>
      <c r="AM158" s="13">
        <f t="shared" si="145"/>
        <v>1.2784988382360152</v>
      </c>
      <c r="AN158" s="14">
        <f t="shared" si="146"/>
        <v>828.80035730295765</v>
      </c>
    </row>
    <row r="159" spans="16:40" x14ac:dyDescent="0.25">
      <c r="P159" s="13">
        <f t="shared" si="124"/>
        <v>1.2778541360146005</v>
      </c>
      <c r="Q159" s="14">
        <f t="shared" si="125"/>
        <v>837.57507430162286</v>
      </c>
      <c r="R159" s="13">
        <f t="shared" si="126"/>
        <v>1.3175798244716868</v>
      </c>
      <c r="S159" s="14">
        <f t="shared" si="147"/>
        <v>856.72138385834182</v>
      </c>
      <c r="T159" s="13">
        <f t="shared" si="127"/>
        <v>1.3394374004511851</v>
      </c>
      <c r="U159" s="14">
        <f t="shared" si="128"/>
        <v>866.98926591013549</v>
      </c>
      <c r="V159" s="13">
        <f t="shared" si="129"/>
        <v>1.2753543819101887</v>
      </c>
      <c r="W159" s="14">
        <f t="shared" si="130"/>
        <v>841.99048143554819</v>
      </c>
      <c r="X159" s="13">
        <f t="shared" si="131"/>
        <v>1.2990636508763003</v>
      </c>
      <c r="Y159" s="14">
        <f t="shared" si="132"/>
        <v>853.9964623820108</v>
      </c>
      <c r="Z159" s="13">
        <f t="shared" si="133"/>
        <v>1.3284559828356508</v>
      </c>
      <c r="AA159" s="14">
        <f t="shared" si="134"/>
        <v>867.98487027854708</v>
      </c>
      <c r="AB159" s="13">
        <f t="shared" si="135"/>
        <v>1.268066444623009</v>
      </c>
      <c r="AC159" s="14">
        <f t="shared" si="136"/>
        <v>856.66226886665743</v>
      </c>
      <c r="AD159" s="13">
        <f t="shared" si="137"/>
        <v>1.2911613819695915</v>
      </c>
      <c r="AE159" s="14">
        <f t="shared" si="138"/>
        <v>868.2174196394111</v>
      </c>
      <c r="AF159" s="13">
        <f t="shared" si="139"/>
        <v>1.3198200044488455</v>
      </c>
      <c r="AG159" s="14">
        <f t="shared" si="140"/>
        <v>881.93499705711292</v>
      </c>
      <c r="AI159" s="13">
        <f t="shared" si="141"/>
        <v>1.2784988382346327</v>
      </c>
      <c r="AJ159" s="14">
        <f t="shared" si="142"/>
        <v>828.46845721534669</v>
      </c>
      <c r="AK159" s="13">
        <f t="shared" si="143"/>
        <v>1.2784988382346327</v>
      </c>
      <c r="AL159" s="14">
        <f t="shared" si="144"/>
        <v>828.80035730253621</v>
      </c>
      <c r="AM159" s="13">
        <f t="shared" si="145"/>
        <v>1.2784988382346327</v>
      </c>
      <c r="AN159" s="14">
        <f t="shared" si="146"/>
        <v>828.80035730253621</v>
      </c>
    </row>
    <row r="160" spans="16:40" x14ac:dyDescent="0.25">
      <c r="P160" s="13">
        <f t="shared" si="124"/>
        <v>1.2778541360146003</v>
      </c>
      <c r="Q160" s="14">
        <f t="shared" si="125"/>
        <v>837.57507430162275</v>
      </c>
      <c r="R160" s="13">
        <f t="shared" si="126"/>
        <v>1.3175798244716865</v>
      </c>
      <c r="S160" s="14">
        <f t="shared" si="147"/>
        <v>856.72138385834182</v>
      </c>
      <c r="T160" s="13">
        <f t="shared" si="127"/>
        <v>1.3394374004511849</v>
      </c>
      <c r="U160" s="14">
        <f t="shared" si="128"/>
        <v>866.98926591013526</v>
      </c>
      <c r="V160" s="13">
        <f t="shared" si="129"/>
        <v>1.2753543819101882</v>
      </c>
      <c r="W160" s="14">
        <f t="shared" si="130"/>
        <v>841.99048143554796</v>
      </c>
      <c r="X160" s="13">
        <f t="shared" si="131"/>
        <v>1.2990636508763</v>
      </c>
      <c r="Y160" s="14">
        <f t="shared" si="132"/>
        <v>853.99646238201058</v>
      </c>
      <c r="Z160" s="13">
        <f t="shared" si="133"/>
        <v>1.3284559828356506</v>
      </c>
      <c r="AA160" s="14">
        <f t="shared" si="134"/>
        <v>867.98487027854685</v>
      </c>
      <c r="AB160" s="13">
        <f t="shared" si="135"/>
        <v>1.2680664446230085</v>
      </c>
      <c r="AC160" s="14">
        <f t="shared" si="136"/>
        <v>856.6622688666572</v>
      </c>
      <c r="AD160" s="13">
        <f t="shared" si="137"/>
        <v>1.2911613819695913</v>
      </c>
      <c r="AE160" s="14">
        <f t="shared" si="138"/>
        <v>868.2174196394111</v>
      </c>
      <c r="AF160" s="13">
        <f t="shared" si="139"/>
        <v>1.3198200044488453</v>
      </c>
      <c r="AG160" s="14">
        <f t="shared" si="140"/>
        <v>881.93499705711292</v>
      </c>
      <c r="AI160" s="13">
        <f t="shared" si="141"/>
        <v>1.2784988382346325</v>
      </c>
      <c r="AJ160" s="14">
        <f t="shared" si="142"/>
        <v>828.46845721534669</v>
      </c>
      <c r="AK160" s="13">
        <f t="shared" si="143"/>
        <v>1.2784988382346325</v>
      </c>
      <c r="AL160" s="14">
        <f t="shared" si="144"/>
        <v>828.80035730253599</v>
      </c>
      <c r="AM160" s="13">
        <f t="shared" si="145"/>
        <v>1.2784988382346325</v>
      </c>
      <c r="AN160" s="14">
        <f t="shared" si="146"/>
        <v>828.80035730253599</v>
      </c>
    </row>
    <row r="161" spans="16:40" x14ac:dyDescent="0.25">
      <c r="P161" s="13">
        <f t="shared" si="124"/>
        <v>1.2778541360146003</v>
      </c>
      <c r="Q161" s="14">
        <f t="shared" si="125"/>
        <v>837.57507430162275</v>
      </c>
      <c r="R161" s="13">
        <f t="shared" si="126"/>
        <v>1.3175798244716865</v>
      </c>
      <c r="S161" s="14">
        <f t="shared" si="147"/>
        <v>856.72138385834182</v>
      </c>
      <c r="T161" s="13">
        <f t="shared" si="127"/>
        <v>1.3394374004511849</v>
      </c>
      <c r="U161" s="14">
        <f t="shared" si="128"/>
        <v>866.98926591013526</v>
      </c>
      <c r="V161" s="13">
        <f t="shared" si="129"/>
        <v>1.2753543819101882</v>
      </c>
      <c r="W161" s="14">
        <f t="shared" si="130"/>
        <v>841.99048143554796</v>
      </c>
      <c r="X161" s="13">
        <f t="shared" si="131"/>
        <v>1.2990636508763</v>
      </c>
      <c r="Y161" s="14">
        <f t="shared" si="132"/>
        <v>853.99646238201058</v>
      </c>
      <c r="Z161" s="13">
        <f t="shared" si="133"/>
        <v>1.3284559828356506</v>
      </c>
      <c r="AA161" s="14">
        <f t="shared" si="134"/>
        <v>867.98487027854685</v>
      </c>
      <c r="AB161" s="13">
        <f t="shared" si="135"/>
        <v>1.2680664446230085</v>
      </c>
      <c r="AC161" s="14">
        <f t="shared" si="136"/>
        <v>856.6622688666572</v>
      </c>
      <c r="AD161" s="13">
        <f t="shared" si="137"/>
        <v>1.2911613819695913</v>
      </c>
      <c r="AE161" s="14">
        <f t="shared" si="138"/>
        <v>868.2174196394111</v>
      </c>
      <c r="AF161" s="13">
        <f t="shared" si="139"/>
        <v>1.3198200044488453</v>
      </c>
      <c r="AG161" s="14">
        <f t="shared" si="140"/>
        <v>881.93499705711292</v>
      </c>
      <c r="AI161" s="13">
        <f t="shared" si="141"/>
        <v>1.2784988382346325</v>
      </c>
      <c r="AJ161" s="14">
        <f t="shared" si="142"/>
        <v>828.46845721534669</v>
      </c>
      <c r="AK161" s="13">
        <f t="shared" si="143"/>
        <v>1.2784988382346325</v>
      </c>
      <c r="AL161" s="14">
        <f t="shared" si="144"/>
        <v>828.80035730253599</v>
      </c>
      <c r="AM161" s="13">
        <f t="shared" si="145"/>
        <v>1.2784988382346325</v>
      </c>
      <c r="AN161" s="14">
        <f t="shared" si="146"/>
        <v>828.80035730253599</v>
      </c>
    </row>
    <row r="162" spans="16:40" x14ac:dyDescent="0.25">
      <c r="P162" s="13">
        <f t="shared" si="124"/>
        <v>1.2778541360146003</v>
      </c>
      <c r="Q162" s="14">
        <f t="shared" si="125"/>
        <v>837.57507430162275</v>
      </c>
      <c r="R162" s="13">
        <f t="shared" si="126"/>
        <v>1.3175798244716865</v>
      </c>
      <c r="S162" s="14">
        <f t="shared" si="147"/>
        <v>856.72138385834182</v>
      </c>
      <c r="T162" s="13">
        <f t="shared" si="127"/>
        <v>1.3394374004511849</v>
      </c>
      <c r="U162" s="14">
        <f t="shared" si="128"/>
        <v>866.98926591013526</v>
      </c>
      <c r="V162" s="13">
        <f t="shared" si="129"/>
        <v>1.2753543819101882</v>
      </c>
      <c r="W162" s="14">
        <f t="shared" si="130"/>
        <v>841.99048143554796</v>
      </c>
      <c r="X162" s="13">
        <f t="shared" si="131"/>
        <v>1.2990636508763</v>
      </c>
      <c r="Y162" s="14">
        <f t="shared" si="132"/>
        <v>853.99646238201058</v>
      </c>
      <c r="Z162" s="13">
        <f t="shared" si="133"/>
        <v>1.3284559828356506</v>
      </c>
      <c r="AA162" s="14">
        <f t="shared" si="134"/>
        <v>867.98487027854685</v>
      </c>
      <c r="AB162" s="13">
        <f t="shared" si="135"/>
        <v>1.2680664446230085</v>
      </c>
      <c r="AC162" s="14">
        <f t="shared" si="136"/>
        <v>856.6622688666572</v>
      </c>
      <c r="AD162" s="13">
        <f t="shared" si="137"/>
        <v>1.2911613819695913</v>
      </c>
      <c r="AE162" s="14">
        <f t="shared" si="138"/>
        <v>868.2174196394111</v>
      </c>
      <c r="AF162" s="13">
        <f t="shared" si="139"/>
        <v>1.3198200044488453</v>
      </c>
      <c r="AG162" s="14">
        <f t="shared" si="140"/>
        <v>881.93499705711292</v>
      </c>
      <c r="AI162" s="13">
        <f t="shared" si="141"/>
        <v>1.2784988382346325</v>
      </c>
      <c r="AJ162" s="14">
        <f t="shared" si="142"/>
        <v>828.46845721534669</v>
      </c>
      <c r="AK162" s="13">
        <f t="shared" si="143"/>
        <v>1.2784988382346325</v>
      </c>
      <c r="AL162" s="14">
        <f t="shared" si="144"/>
        <v>828.80035730253599</v>
      </c>
      <c r="AM162" s="13">
        <f t="shared" si="145"/>
        <v>1.2784988382346325</v>
      </c>
      <c r="AN162" s="14">
        <f t="shared" si="146"/>
        <v>828.80035730253599</v>
      </c>
    </row>
    <row r="163" spans="16:40" x14ac:dyDescent="0.25">
      <c r="P163" s="13">
        <f t="shared" si="124"/>
        <v>1.2778541360146003</v>
      </c>
      <c r="Q163" s="14">
        <f t="shared" si="125"/>
        <v>837.57507430162275</v>
      </c>
      <c r="R163" s="13">
        <f t="shared" si="126"/>
        <v>1.3175798244716865</v>
      </c>
      <c r="S163" s="14">
        <f t="shared" si="147"/>
        <v>856.72138385834182</v>
      </c>
      <c r="T163" s="13">
        <f t="shared" si="127"/>
        <v>1.3394374004511849</v>
      </c>
      <c r="U163" s="14">
        <f t="shared" si="128"/>
        <v>866.98926591013526</v>
      </c>
      <c r="V163" s="13">
        <f t="shared" si="129"/>
        <v>1.2753543819101882</v>
      </c>
      <c r="W163" s="14">
        <f t="shared" si="130"/>
        <v>841.99048143554796</v>
      </c>
      <c r="X163" s="13">
        <f t="shared" si="131"/>
        <v>1.2990636508763</v>
      </c>
      <c r="Y163" s="14">
        <f t="shared" si="132"/>
        <v>853.99646238201058</v>
      </c>
      <c r="Z163" s="13">
        <f t="shared" si="133"/>
        <v>1.3284559828356506</v>
      </c>
      <c r="AA163" s="14">
        <f t="shared" si="134"/>
        <v>867.98487027854685</v>
      </c>
      <c r="AB163" s="13">
        <f t="shared" si="135"/>
        <v>1.2680664446230085</v>
      </c>
      <c r="AC163" s="14">
        <f t="shared" si="136"/>
        <v>856.6622688666572</v>
      </c>
      <c r="AD163" s="13">
        <f t="shared" si="137"/>
        <v>1.2911613819695913</v>
      </c>
      <c r="AE163" s="14">
        <f t="shared" si="138"/>
        <v>868.2174196394111</v>
      </c>
      <c r="AF163" s="13">
        <f t="shared" si="139"/>
        <v>1.3198200044488453</v>
      </c>
      <c r="AG163" s="14">
        <f t="shared" si="140"/>
        <v>881.93499705711292</v>
      </c>
      <c r="AI163" s="13">
        <f t="shared" si="141"/>
        <v>1.2784988382346325</v>
      </c>
      <c r="AJ163" s="14">
        <f t="shared" si="142"/>
        <v>828.46845721534669</v>
      </c>
      <c r="AK163" s="13">
        <f t="shared" si="143"/>
        <v>1.2784988382346325</v>
      </c>
      <c r="AL163" s="14">
        <f t="shared" si="144"/>
        <v>828.80035730253599</v>
      </c>
      <c r="AM163" s="13">
        <f t="shared" si="145"/>
        <v>1.2784988382346325</v>
      </c>
      <c r="AN163" s="14">
        <f t="shared" si="146"/>
        <v>828.80035730253599</v>
      </c>
    </row>
    <row r="164" spans="16:40" x14ac:dyDescent="0.25">
      <c r="P164" s="13">
        <f t="shared" si="124"/>
        <v>1.2778541360146003</v>
      </c>
      <c r="Q164" s="14">
        <f t="shared" si="125"/>
        <v>837.57507430162275</v>
      </c>
      <c r="R164" s="13">
        <f t="shared" si="126"/>
        <v>1.3175798244716865</v>
      </c>
      <c r="S164" s="14">
        <f t="shared" si="147"/>
        <v>856.72138385834182</v>
      </c>
      <c r="T164" s="13">
        <f t="shared" si="127"/>
        <v>1.3394374004511849</v>
      </c>
      <c r="U164" s="14">
        <f t="shared" si="128"/>
        <v>866.98926591013526</v>
      </c>
      <c r="V164" s="13">
        <f t="shared" si="129"/>
        <v>1.2753543819101882</v>
      </c>
      <c r="W164" s="14">
        <f t="shared" si="130"/>
        <v>841.99048143554796</v>
      </c>
      <c r="X164" s="13">
        <f t="shared" si="131"/>
        <v>1.2990636508763</v>
      </c>
      <c r="Y164" s="14">
        <f t="shared" si="132"/>
        <v>853.99646238201058</v>
      </c>
      <c r="Z164" s="13">
        <f t="shared" si="133"/>
        <v>1.3284559828356506</v>
      </c>
      <c r="AA164" s="14">
        <f t="shared" si="134"/>
        <v>867.98487027854685</v>
      </c>
      <c r="AB164" s="13">
        <f t="shared" si="135"/>
        <v>1.2680664446230085</v>
      </c>
      <c r="AC164" s="14">
        <f t="shared" si="136"/>
        <v>856.6622688666572</v>
      </c>
      <c r="AD164" s="13">
        <f t="shared" si="137"/>
        <v>1.2911613819695913</v>
      </c>
      <c r="AE164" s="14">
        <f t="shared" si="138"/>
        <v>868.2174196394111</v>
      </c>
      <c r="AF164" s="13">
        <f t="shared" si="139"/>
        <v>1.3198200044488453</v>
      </c>
      <c r="AG164" s="14">
        <f t="shared" si="140"/>
        <v>881.93499705711292</v>
      </c>
      <c r="AI164" s="13">
        <f t="shared" si="141"/>
        <v>1.2784988382346325</v>
      </c>
      <c r="AJ164" s="14">
        <f t="shared" si="142"/>
        <v>828.46845721534669</v>
      </c>
      <c r="AK164" s="13">
        <f t="shared" si="143"/>
        <v>1.2784988382346325</v>
      </c>
      <c r="AL164" s="14">
        <f t="shared" si="144"/>
        <v>828.80035730253599</v>
      </c>
      <c r="AM164" s="13">
        <f t="shared" si="145"/>
        <v>1.2784988382346325</v>
      </c>
      <c r="AN164" s="14">
        <f t="shared" si="146"/>
        <v>828.80035730253599</v>
      </c>
    </row>
    <row r="165" spans="16:40" x14ac:dyDescent="0.25">
      <c r="P165" s="13">
        <f t="shared" si="124"/>
        <v>1.2778541360146003</v>
      </c>
      <c r="Q165" s="14">
        <f t="shared" si="125"/>
        <v>837.57507430162275</v>
      </c>
      <c r="R165" s="13">
        <f t="shared" si="126"/>
        <v>1.3175798244716865</v>
      </c>
      <c r="S165" s="14">
        <f t="shared" si="147"/>
        <v>856.72138385834182</v>
      </c>
      <c r="T165" s="13">
        <f t="shared" si="127"/>
        <v>1.3394374004511849</v>
      </c>
      <c r="U165" s="14">
        <f t="shared" si="128"/>
        <v>866.98926591013526</v>
      </c>
      <c r="V165" s="13">
        <f t="shared" si="129"/>
        <v>1.2753543819101882</v>
      </c>
      <c r="W165" s="14">
        <f t="shared" si="130"/>
        <v>841.99048143554796</v>
      </c>
      <c r="X165" s="13">
        <f t="shared" si="131"/>
        <v>1.2990636508763</v>
      </c>
      <c r="Y165" s="14">
        <f t="shared" si="132"/>
        <v>853.99646238201058</v>
      </c>
      <c r="Z165" s="13">
        <f t="shared" si="133"/>
        <v>1.3284559828356506</v>
      </c>
      <c r="AA165" s="14">
        <f t="shared" si="134"/>
        <v>867.98487027854685</v>
      </c>
      <c r="AB165" s="13">
        <f t="shared" si="135"/>
        <v>1.2680664446230085</v>
      </c>
      <c r="AC165" s="14">
        <f t="shared" si="136"/>
        <v>856.6622688666572</v>
      </c>
      <c r="AD165" s="13">
        <f t="shared" si="137"/>
        <v>1.2911613819695913</v>
      </c>
      <c r="AE165" s="14">
        <f t="shared" si="138"/>
        <v>868.2174196394111</v>
      </c>
      <c r="AF165" s="13">
        <f t="shared" si="139"/>
        <v>1.3198200044488453</v>
      </c>
      <c r="AG165" s="14">
        <f t="shared" si="140"/>
        <v>881.93499705711292</v>
      </c>
      <c r="AI165" s="13">
        <f t="shared" si="141"/>
        <v>1.2784988382346325</v>
      </c>
      <c r="AJ165" s="14">
        <f t="shared" si="142"/>
        <v>828.46845721534669</v>
      </c>
      <c r="AK165" s="13">
        <f t="shared" si="143"/>
        <v>1.2784988382346325</v>
      </c>
      <c r="AL165" s="14">
        <f t="shared" si="144"/>
        <v>828.80035730253599</v>
      </c>
      <c r="AM165" s="13">
        <f t="shared" si="145"/>
        <v>1.2784988382346325</v>
      </c>
      <c r="AN165" s="14">
        <f t="shared" si="146"/>
        <v>828.80035730253599</v>
      </c>
    </row>
    <row r="166" spans="16:40" x14ac:dyDescent="0.25">
      <c r="P166" s="13">
        <f t="shared" si="124"/>
        <v>1.2778541360146003</v>
      </c>
      <c r="Q166" s="14">
        <f t="shared" si="125"/>
        <v>837.57507430162275</v>
      </c>
      <c r="R166" s="13">
        <f t="shared" si="126"/>
        <v>1.3175798244716865</v>
      </c>
      <c r="S166" s="14">
        <f t="shared" si="147"/>
        <v>856.72138385834182</v>
      </c>
      <c r="T166" s="13">
        <f t="shared" si="127"/>
        <v>1.3394374004511849</v>
      </c>
      <c r="U166" s="14">
        <f t="shared" si="128"/>
        <v>866.98926591013526</v>
      </c>
      <c r="V166" s="13">
        <f t="shared" si="129"/>
        <v>1.2753543819101882</v>
      </c>
      <c r="W166" s="14">
        <f t="shared" si="130"/>
        <v>841.99048143554796</v>
      </c>
      <c r="X166" s="13">
        <f t="shared" si="131"/>
        <v>1.2990636508763</v>
      </c>
      <c r="Y166" s="14">
        <f t="shared" si="132"/>
        <v>853.99646238201058</v>
      </c>
      <c r="Z166" s="13">
        <f t="shared" si="133"/>
        <v>1.3284559828356506</v>
      </c>
      <c r="AA166" s="14">
        <f t="shared" si="134"/>
        <v>867.98487027854685</v>
      </c>
      <c r="AB166" s="13">
        <f t="shared" si="135"/>
        <v>1.2680664446230085</v>
      </c>
      <c r="AC166" s="14">
        <f t="shared" si="136"/>
        <v>856.6622688666572</v>
      </c>
      <c r="AD166" s="13">
        <f t="shared" si="137"/>
        <v>1.2911613819695913</v>
      </c>
      <c r="AE166" s="14">
        <f t="shared" si="138"/>
        <v>868.2174196394111</v>
      </c>
      <c r="AF166" s="13">
        <f t="shared" si="139"/>
        <v>1.3198200044488453</v>
      </c>
      <c r="AG166" s="14">
        <f t="shared" si="140"/>
        <v>881.93499705711292</v>
      </c>
      <c r="AI166" s="13">
        <f t="shared" si="141"/>
        <v>1.2784988382346325</v>
      </c>
      <c r="AJ166" s="14">
        <f t="shared" si="142"/>
        <v>828.46845721534669</v>
      </c>
      <c r="AK166" s="13">
        <f t="shared" si="143"/>
        <v>1.2784988382346325</v>
      </c>
      <c r="AL166" s="14">
        <f t="shared" si="144"/>
        <v>828.80035730253599</v>
      </c>
      <c r="AM166" s="13">
        <f t="shared" si="145"/>
        <v>1.2784988382346325</v>
      </c>
      <c r="AN166" s="14">
        <f t="shared" si="146"/>
        <v>828.80035730253599</v>
      </c>
    </row>
    <row r="167" spans="16:40" x14ac:dyDescent="0.25">
      <c r="P167" s="13">
        <f t="shared" si="124"/>
        <v>1.2778541360146003</v>
      </c>
      <c r="Q167" s="14">
        <f t="shared" si="125"/>
        <v>837.57507430162275</v>
      </c>
      <c r="R167" s="13">
        <f t="shared" si="126"/>
        <v>1.3175798244716865</v>
      </c>
      <c r="S167" s="14">
        <f t="shared" si="147"/>
        <v>856.72138385834182</v>
      </c>
      <c r="T167" s="13">
        <f t="shared" si="127"/>
        <v>1.3394374004511849</v>
      </c>
      <c r="U167" s="14">
        <f t="shared" si="128"/>
        <v>866.98926591013526</v>
      </c>
      <c r="V167" s="13">
        <f t="shared" si="129"/>
        <v>1.2753543819101882</v>
      </c>
      <c r="W167" s="14">
        <f t="shared" si="130"/>
        <v>841.99048143554796</v>
      </c>
      <c r="X167" s="13">
        <f t="shared" si="131"/>
        <v>1.2990636508763</v>
      </c>
      <c r="Y167" s="14">
        <f t="shared" si="132"/>
        <v>853.99646238201058</v>
      </c>
      <c r="Z167" s="13">
        <f t="shared" si="133"/>
        <v>1.3284559828356506</v>
      </c>
      <c r="AA167" s="14">
        <f t="shared" si="134"/>
        <v>867.98487027854685</v>
      </c>
      <c r="AB167" s="13">
        <f t="shared" si="135"/>
        <v>1.2680664446230085</v>
      </c>
      <c r="AC167" s="14">
        <f t="shared" si="136"/>
        <v>856.6622688666572</v>
      </c>
      <c r="AD167" s="13">
        <f t="shared" si="137"/>
        <v>1.2911613819695913</v>
      </c>
      <c r="AE167" s="14">
        <f t="shared" si="138"/>
        <v>868.2174196394111</v>
      </c>
      <c r="AF167" s="13">
        <f t="shared" si="139"/>
        <v>1.3198200044488453</v>
      </c>
      <c r="AG167" s="14">
        <f t="shared" si="140"/>
        <v>881.93499705711292</v>
      </c>
      <c r="AI167" s="13">
        <f t="shared" si="141"/>
        <v>1.2784988382346325</v>
      </c>
      <c r="AJ167" s="14">
        <f t="shared" si="142"/>
        <v>828.46845721534669</v>
      </c>
      <c r="AK167" s="13">
        <f t="shared" si="143"/>
        <v>1.2784988382346325</v>
      </c>
      <c r="AL167" s="14">
        <f t="shared" si="144"/>
        <v>828.80035730253599</v>
      </c>
      <c r="AM167" s="13">
        <f t="shared" si="145"/>
        <v>1.2784988382346325</v>
      </c>
      <c r="AN167" s="14">
        <f t="shared" si="146"/>
        <v>828.80035730253599</v>
      </c>
    </row>
    <row r="168" spans="16:40" x14ac:dyDescent="0.25">
      <c r="P168" s="13">
        <f t="shared" si="124"/>
        <v>1.2778541360146003</v>
      </c>
      <c r="Q168" s="14">
        <f t="shared" si="125"/>
        <v>837.57507430162275</v>
      </c>
      <c r="R168" s="13">
        <f t="shared" si="126"/>
        <v>1.3175798244716865</v>
      </c>
      <c r="S168" s="14">
        <f t="shared" si="147"/>
        <v>856.72138385834182</v>
      </c>
      <c r="T168" s="13">
        <f t="shared" si="127"/>
        <v>1.3394374004511849</v>
      </c>
      <c r="U168" s="14">
        <f t="shared" si="128"/>
        <v>866.98926591013526</v>
      </c>
      <c r="V168" s="13">
        <f t="shared" si="129"/>
        <v>1.2753543819101882</v>
      </c>
      <c r="W168" s="14">
        <f t="shared" si="130"/>
        <v>841.99048143554796</v>
      </c>
      <c r="X168" s="13">
        <f t="shared" si="131"/>
        <v>1.2990636508763</v>
      </c>
      <c r="Y168" s="14">
        <f t="shared" si="132"/>
        <v>853.99646238201058</v>
      </c>
      <c r="Z168" s="13">
        <f t="shared" si="133"/>
        <v>1.3284559828356506</v>
      </c>
      <c r="AA168" s="14">
        <f t="shared" si="134"/>
        <v>867.98487027854685</v>
      </c>
      <c r="AB168" s="13">
        <f t="shared" si="135"/>
        <v>1.2680664446230085</v>
      </c>
      <c r="AC168" s="14">
        <f t="shared" si="136"/>
        <v>856.6622688666572</v>
      </c>
      <c r="AD168" s="13">
        <f t="shared" si="137"/>
        <v>1.2911613819695913</v>
      </c>
      <c r="AE168" s="14">
        <f t="shared" si="138"/>
        <v>868.2174196394111</v>
      </c>
      <c r="AF168" s="13">
        <f t="shared" si="139"/>
        <v>1.3198200044488453</v>
      </c>
      <c r="AG168" s="14">
        <f t="shared" si="140"/>
        <v>881.93499705711292</v>
      </c>
      <c r="AI168" s="13">
        <f t="shared" si="141"/>
        <v>1.2784988382346325</v>
      </c>
      <c r="AJ168" s="14">
        <f t="shared" si="142"/>
        <v>828.46845721534669</v>
      </c>
      <c r="AK168" s="13">
        <f t="shared" si="143"/>
        <v>1.2784988382346325</v>
      </c>
      <c r="AL168" s="14">
        <f t="shared" si="144"/>
        <v>828.80035730253599</v>
      </c>
      <c r="AM168" s="13">
        <f t="shared" si="145"/>
        <v>1.2784988382346325</v>
      </c>
      <c r="AN168" s="14">
        <f t="shared" si="146"/>
        <v>828.80035730253599</v>
      </c>
    </row>
    <row r="169" spans="16:40" x14ac:dyDescent="0.25">
      <c r="P169" s="13">
        <f t="shared" si="124"/>
        <v>1.2778541360146003</v>
      </c>
      <c r="Q169" s="14">
        <f t="shared" si="125"/>
        <v>837.57507430162275</v>
      </c>
      <c r="R169" s="13">
        <f t="shared" si="126"/>
        <v>1.3175798244716865</v>
      </c>
      <c r="S169" s="14">
        <f t="shared" si="147"/>
        <v>856.72138385834182</v>
      </c>
      <c r="T169" s="13">
        <f t="shared" si="127"/>
        <v>1.3394374004511849</v>
      </c>
      <c r="U169" s="14">
        <f t="shared" si="128"/>
        <v>866.98926591013526</v>
      </c>
      <c r="V169" s="13">
        <f t="shared" si="129"/>
        <v>1.2753543819101882</v>
      </c>
      <c r="W169" s="14">
        <f t="shared" si="130"/>
        <v>841.99048143554796</v>
      </c>
      <c r="X169" s="13">
        <f t="shared" si="131"/>
        <v>1.2990636508763</v>
      </c>
      <c r="Y169" s="14">
        <f t="shared" si="132"/>
        <v>853.99646238201058</v>
      </c>
      <c r="Z169" s="13">
        <f t="shared" si="133"/>
        <v>1.3284559828356506</v>
      </c>
      <c r="AA169" s="14">
        <f t="shared" si="134"/>
        <v>867.98487027854685</v>
      </c>
      <c r="AB169" s="13">
        <f t="shared" si="135"/>
        <v>1.2680664446230085</v>
      </c>
      <c r="AC169" s="14">
        <f t="shared" si="136"/>
        <v>856.6622688666572</v>
      </c>
      <c r="AD169" s="13">
        <f t="shared" si="137"/>
        <v>1.2911613819695913</v>
      </c>
      <c r="AE169" s="14">
        <f t="shared" si="138"/>
        <v>868.2174196394111</v>
      </c>
      <c r="AF169" s="13">
        <f t="shared" si="139"/>
        <v>1.3198200044488453</v>
      </c>
      <c r="AG169" s="14">
        <f t="shared" si="140"/>
        <v>881.93499705711292</v>
      </c>
      <c r="AI169" s="13">
        <f t="shared" si="141"/>
        <v>1.2784988382346325</v>
      </c>
      <c r="AJ169" s="14">
        <f t="shared" si="142"/>
        <v>828.46845721534669</v>
      </c>
      <c r="AK169" s="13">
        <f t="shared" si="143"/>
        <v>1.2784988382346325</v>
      </c>
      <c r="AL169" s="14">
        <f t="shared" si="144"/>
        <v>828.80035730253599</v>
      </c>
      <c r="AM169" s="13">
        <f t="shared" si="145"/>
        <v>1.2784988382346325</v>
      </c>
      <c r="AN169" s="14">
        <f t="shared" si="146"/>
        <v>828.80035730253599</v>
      </c>
    </row>
    <row r="170" spans="16:40" x14ac:dyDescent="0.25">
      <c r="P170" s="13">
        <f t="shared" si="124"/>
        <v>1.2778541360146003</v>
      </c>
      <c r="Q170" s="14">
        <f t="shared" si="125"/>
        <v>837.57507430162275</v>
      </c>
      <c r="R170" s="13">
        <f t="shared" si="126"/>
        <v>1.3175798244716865</v>
      </c>
      <c r="S170" s="14">
        <f t="shared" si="147"/>
        <v>856.72138385834182</v>
      </c>
      <c r="T170" s="13">
        <f t="shared" si="127"/>
        <v>1.3394374004511849</v>
      </c>
      <c r="U170" s="14">
        <f t="shared" si="128"/>
        <v>866.98926591013526</v>
      </c>
      <c r="V170" s="13">
        <f t="shared" si="129"/>
        <v>1.2753543819101882</v>
      </c>
      <c r="W170" s="14">
        <f t="shared" si="130"/>
        <v>841.99048143554796</v>
      </c>
      <c r="X170" s="13">
        <f t="shared" si="131"/>
        <v>1.2990636508763</v>
      </c>
      <c r="Y170" s="14">
        <f t="shared" si="132"/>
        <v>853.99646238201058</v>
      </c>
      <c r="Z170" s="13">
        <f t="shared" si="133"/>
        <v>1.3284559828356506</v>
      </c>
      <c r="AA170" s="14">
        <f t="shared" si="134"/>
        <v>867.98487027854685</v>
      </c>
      <c r="AB170" s="13">
        <f t="shared" si="135"/>
        <v>1.2680664446230085</v>
      </c>
      <c r="AC170" s="14">
        <f t="shared" si="136"/>
        <v>856.6622688666572</v>
      </c>
      <c r="AD170" s="13">
        <f t="shared" si="137"/>
        <v>1.2911613819695913</v>
      </c>
      <c r="AE170" s="14">
        <f t="shared" si="138"/>
        <v>868.2174196394111</v>
      </c>
      <c r="AF170" s="13">
        <f t="shared" si="139"/>
        <v>1.3198200044488453</v>
      </c>
      <c r="AG170" s="14">
        <f t="shared" si="140"/>
        <v>881.93499705711292</v>
      </c>
      <c r="AI170" s="13">
        <f t="shared" si="141"/>
        <v>1.2784988382346325</v>
      </c>
      <c r="AJ170" s="14">
        <f t="shared" si="142"/>
        <v>828.46845721534669</v>
      </c>
      <c r="AK170" s="13">
        <f t="shared" si="143"/>
        <v>1.2784988382346325</v>
      </c>
      <c r="AL170" s="14">
        <f t="shared" si="144"/>
        <v>828.80035730253599</v>
      </c>
      <c r="AM170" s="13">
        <f t="shared" si="145"/>
        <v>1.2784988382346325</v>
      </c>
      <c r="AN170" s="14">
        <f t="shared" si="146"/>
        <v>828.80035730253599</v>
      </c>
    </row>
    <row r="171" spans="16:40" x14ac:dyDescent="0.25">
      <c r="P171" s="13">
        <f t="shared" si="124"/>
        <v>1.2778541360146003</v>
      </c>
      <c r="Q171" s="14">
        <f t="shared" si="125"/>
        <v>837.57507430162275</v>
      </c>
      <c r="R171" s="13">
        <f t="shared" si="126"/>
        <v>1.3175798244716865</v>
      </c>
      <c r="S171" s="14">
        <f t="shared" si="147"/>
        <v>856.72138385834182</v>
      </c>
      <c r="T171" s="13">
        <f t="shared" si="127"/>
        <v>1.3394374004511849</v>
      </c>
      <c r="U171" s="14">
        <f t="shared" si="128"/>
        <v>866.98926591013526</v>
      </c>
      <c r="V171" s="13">
        <f t="shared" si="129"/>
        <v>1.2753543819101882</v>
      </c>
      <c r="W171" s="14">
        <f t="shared" si="130"/>
        <v>841.99048143554796</v>
      </c>
      <c r="X171" s="13">
        <f t="shared" si="131"/>
        <v>1.2990636508763</v>
      </c>
      <c r="Y171" s="14">
        <f t="shared" si="132"/>
        <v>853.99646238201058</v>
      </c>
      <c r="Z171" s="13">
        <f t="shared" si="133"/>
        <v>1.3284559828356506</v>
      </c>
      <c r="AA171" s="14">
        <f t="shared" si="134"/>
        <v>867.98487027854685</v>
      </c>
      <c r="AB171" s="13">
        <f t="shared" si="135"/>
        <v>1.2680664446230085</v>
      </c>
      <c r="AC171" s="14">
        <f t="shared" si="136"/>
        <v>856.6622688666572</v>
      </c>
      <c r="AD171" s="13">
        <f t="shared" si="137"/>
        <v>1.2911613819695913</v>
      </c>
      <c r="AE171" s="14">
        <f t="shared" si="138"/>
        <v>868.2174196394111</v>
      </c>
      <c r="AF171" s="13">
        <f t="shared" si="139"/>
        <v>1.3198200044488453</v>
      </c>
      <c r="AG171" s="14">
        <f t="shared" si="140"/>
        <v>881.93499705711292</v>
      </c>
      <c r="AI171" s="13">
        <f t="shared" si="141"/>
        <v>1.2784988382346325</v>
      </c>
      <c r="AJ171" s="14">
        <f t="shared" si="142"/>
        <v>828.46845721534669</v>
      </c>
      <c r="AK171" s="13">
        <f t="shared" si="143"/>
        <v>1.2784988382346325</v>
      </c>
      <c r="AL171" s="14">
        <f t="shared" si="144"/>
        <v>828.80035730253599</v>
      </c>
      <c r="AM171" s="13">
        <f t="shared" si="145"/>
        <v>1.2784988382346325</v>
      </c>
      <c r="AN171" s="14">
        <f t="shared" si="146"/>
        <v>828.80035730253599</v>
      </c>
    </row>
    <row r="172" spans="16:40" x14ac:dyDescent="0.25">
      <c r="P172" s="13">
        <f t="shared" si="124"/>
        <v>1.2778541360146003</v>
      </c>
      <c r="Q172" s="14">
        <f t="shared" si="125"/>
        <v>837.57507430162275</v>
      </c>
      <c r="R172" s="13">
        <f t="shared" si="126"/>
        <v>1.3175798244716865</v>
      </c>
      <c r="S172" s="14">
        <f t="shared" si="147"/>
        <v>856.72138385834182</v>
      </c>
      <c r="T172" s="13">
        <f t="shared" si="127"/>
        <v>1.3394374004511849</v>
      </c>
      <c r="U172" s="14">
        <f t="shared" si="128"/>
        <v>866.98926591013526</v>
      </c>
      <c r="V172" s="13">
        <f t="shared" si="129"/>
        <v>1.2753543819101882</v>
      </c>
      <c r="W172" s="14">
        <f t="shared" si="130"/>
        <v>841.99048143554796</v>
      </c>
      <c r="X172" s="13">
        <f t="shared" si="131"/>
        <v>1.2990636508763</v>
      </c>
      <c r="Y172" s="14">
        <f t="shared" si="132"/>
        <v>853.99646238201058</v>
      </c>
      <c r="Z172" s="13">
        <f t="shared" si="133"/>
        <v>1.3284559828356506</v>
      </c>
      <c r="AA172" s="14">
        <f t="shared" si="134"/>
        <v>867.98487027854685</v>
      </c>
      <c r="AB172" s="13">
        <f t="shared" si="135"/>
        <v>1.2680664446230085</v>
      </c>
      <c r="AC172" s="14">
        <f t="shared" si="136"/>
        <v>856.6622688666572</v>
      </c>
      <c r="AD172" s="13">
        <f t="shared" si="137"/>
        <v>1.2911613819695913</v>
      </c>
      <c r="AE172" s="14">
        <f t="shared" si="138"/>
        <v>868.2174196394111</v>
      </c>
      <c r="AF172" s="13">
        <f t="shared" si="139"/>
        <v>1.3198200044488453</v>
      </c>
      <c r="AG172" s="14">
        <f t="shared" si="140"/>
        <v>881.93499705711292</v>
      </c>
      <c r="AI172" s="13">
        <f t="shared" si="141"/>
        <v>1.2784988382346325</v>
      </c>
      <c r="AJ172" s="14">
        <f t="shared" si="142"/>
        <v>828.46845721534669</v>
      </c>
      <c r="AK172" s="13">
        <f t="shared" si="143"/>
        <v>1.2784988382346325</v>
      </c>
      <c r="AL172" s="14">
        <f t="shared" si="144"/>
        <v>828.80035730253599</v>
      </c>
      <c r="AM172" s="13">
        <f t="shared" si="145"/>
        <v>1.2784988382346325</v>
      </c>
      <c r="AN172" s="14">
        <f t="shared" si="146"/>
        <v>828.80035730253599</v>
      </c>
    </row>
    <row r="173" spans="16:40" x14ac:dyDescent="0.25">
      <c r="P173" s="13">
        <f t="shared" si="124"/>
        <v>1.2778541360146003</v>
      </c>
      <c r="Q173" s="14">
        <f t="shared" si="125"/>
        <v>837.57507430162275</v>
      </c>
      <c r="R173" s="13">
        <f t="shared" si="126"/>
        <v>1.3175798244716865</v>
      </c>
      <c r="S173" s="14">
        <f t="shared" si="147"/>
        <v>856.72138385834182</v>
      </c>
      <c r="T173" s="13">
        <f t="shared" si="127"/>
        <v>1.3394374004511849</v>
      </c>
      <c r="U173" s="14">
        <f t="shared" si="128"/>
        <v>866.98926591013526</v>
      </c>
      <c r="V173" s="13">
        <f t="shared" si="129"/>
        <v>1.2753543819101882</v>
      </c>
      <c r="W173" s="14">
        <f t="shared" si="130"/>
        <v>841.99048143554796</v>
      </c>
      <c r="X173" s="13">
        <f t="shared" si="131"/>
        <v>1.2990636508763</v>
      </c>
      <c r="Y173" s="14">
        <f t="shared" si="132"/>
        <v>853.99646238201058</v>
      </c>
      <c r="Z173" s="13">
        <f t="shared" si="133"/>
        <v>1.3284559828356506</v>
      </c>
      <c r="AA173" s="14">
        <f t="shared" si="134"/>
        <v>867.98487027854685</v>
      </c>
      <c r="AB173" s="13">
        <f t="shared" si="135"/>
        <v>1.2680664446230085</v>
      </c>
      <c r="AC173" s="14">
        <f t="shared" si="136"/>
        <v>856.6622688666572</v>
      </c>
      <c r="AD173" s="13">
        <f t="shared" si="137"/>
        <v>1.2911613819695913</v>
      </c>
      <c r="AE173" s="14">
        <f t="shared" si="138"/>
        <v>868.2174196394111</v>
      </c>
      <c r="AF173" s="13">
        <f t="shared" si="139"/>
        <v>1.3198200044488453</v>
      </c>
      <c r="AG173" s="14">
        <f t="shared" si="140"/>
        <v>881.93499705711292</v>
      </c>
      <c r="AI173" s="13">
        <f t="shared" si="141"/>
        <v>1.2784988382346325</v>
      </c>
      <c r="AJ173" s="14">
        <f t="shared" si="142"/>
        <v>828.46845721534669</v>
      </c>
      <c r="AK173" s="13">
        <f t="shared" si="143"/>
        <v>1.2784988382346325</v>
      </c>
      <c r="AL173" s="14">
        <f t="shared" si="144"/>
        <v>828.80035730253599</v>
      </c>
      <c r="AM173" s="13">
        <f t="shared" si="145"/>
        <v>1.2784988382346325</v>
      </c>
      <c r="AN173" s="14">
        <f t="shared" si="146"/>
        <v>828.80035730253599</v>
      </c>
    </row>
    <row r="174" spans="16:40" x14ac:dyDescent="0.25">
      <c r="P174" s="13">
        <f t="shared" si="124"/>
        <v>1.2778541360146003</v>
      </c>
      <c r="Q174" s="14">
        <f t="shared" si="125"/>
        <v>837.57507430162275</v>
      </c>
      <c r="R174" s="13">
        <f t="shared" si="126"/>
        <v>1.3175798244716865</v>
      </c>
      <c r="S174" s="14">
        <f t="shared" si="147"/>
        <v>856.72138385834182</v>
      </c>
      <c r="T174" s="13">
        <f t="shared" si="127"/>
        <v>1.3394374004511849</v>
      </c>
      <c r="U174" s="14">
        <f t="shared" si="128"/>
        <v>866.98926591013526</v>
      </c>
      <c r="V174" s="13">
        <f t="shared" si="129"/>
        <v>1.2753543819101882</v>
      </c>
      <c r="W174" s="14">
        <f t="shared" si="130"/>
        <v>841.99048143554796</v>
      </c>
      <c r="X174" s="13">
        <f t="shared" si="131"/>
        <v>1.2990636508763</v>
      </c>
      <c r="Y174" s="14">
        <f t="shared" si="132"/>
        <v>853.99646238201058</v>
      </c>
      <c r="Z174" s="13">
        <f t="shared" si="133"/>
        <v>1.3284559828356506</v>
      </c>
      <c r="AA174" s="14">
        <f t="shared" si="134"/>
        <v>867.98487027854685</v>
      </c>
      <c r="AB174" s="13">
        <f t="shared" si="135"/>
        <v>1.2680664446230085</v>
      </c>
      <c r="AC174" s="14">
        <f t="shared" si="136"/>
        <v>856.6622688666572</v>
      </c>
      <c r="AD174" s="13">
        <f t="shared" si="137"/>
        <v>1.2911613819695913</v>
      </c>
      <c r="AE174" s="14">
        <f t="shared" si="138"/>
        <v>868.2174196394111</v>
      </c>
      <c r="AF174" s="13">
        <f t="shared" si="139"/>
        <v>1.3198200044488453</v>
      </c>
      <c r="AG174" s="14">
        <f t="shared" si="140"/>
        <v>881.93499705711292</v>
      </c>
      <c r="AI174" s="13">
        <f t="shared" si="141"/>
        <v>1.2784988382346325</v>
      </c>
      <c r="AJ174" s="14">
        <f t="shared" si="142"/>
        <v>828.46845721534669</v>
      </c>
      <c r="AK174" s="13">
        <f t="shared" si="143"/>
        <v>1.2784988382346325</v>
      </c>
      <c r="AL174" s="14">
        <f t="shared" si="144"/>
        <v>828.80035730253599</v>
      </c>
      <c r="AM174" s="13">
        <f t="shared" si="145"/>
        <v>1.2784988382346325</v>
      </c>
      <c r="AN174" s="14">
        <f t="shared" si="146"/>
        <v>828.80035730253599</v>
      </c>
    </row>
    <row r="175" spans="16:40" x14ac:dyDescent="0.25">
      <c r="P175" s="13">
        <f t="shared" si="124"/>
        <v>1.2778541360146003</v>
      </c>
      <c r="Q175" s="14">
        <f t="shared" si="125"/>
        <v>837.57507430162275</v>
      </c>
      <c r="R175" s="13">
        <f t="shared" si="126"/>
        <v>1.3175798244716865</v>
      </c>
      <c r="S175" s="14">
        <f t="shared" si="147"/>
        <v>856.72138385834182</v>
      </c>
      <c r="T175" s="13">
        <f t="shared" si="127"/>
        <v>1.3394374004511849</v>
      </c>
      <c r="U175" s="14">
        <f t="shared" si="128"/>
        <v>866.98926591013526</v>
      </c>
      <c r="V175" s="13">
        <f t="shared" si="129"/>
        <v>1.2753543819101882</v>
      </c>
      <c r="W175" s="14">
        <f t="shared" si="130"/>
        <v>841.99048143554796</v>
      </c>
      <c r="X175" s="13">
        <f t="shared" si="131"/>
        <v>1.2990636508763</v>
      </c>
      <c r="Y175" s="14">
        <f t="shared" si="132"/>
        <v>853.99646238201058</v>
      </c>
      <c r="Z175" s="13">
        <f t="shared" si="133"/>
        <v>1.3284559828356506</v>
      </c>
      <c r="AA175" s="14">
        <f t="shared" si="134"/>
        <v>867.98487027854685</v>
      </c>
      <c r="AB175" s="13">
        <f t="shared" si="135"/>
        <v>1.2680664446230085</v>
      </c>
      <c r="AC175" s="14">
        <f t="shared" si="136"/>
        <v>856.6622688666572</v>
      </c>
      <c r="AD175" s="13">
        <f t="shared" si="137"/>
        <v>1.2911613819695913</v>
      </c>
      <c r="AE175" s="14">
        <f t="shared" si="138"/>
        <v>868.2174196394111</v>
      </c>
      <c r="AF175" s="13">
        <f t="shared" si="139"/>
        <v>1.3198200044488453</v>
      </c>
      <c r="AG175" s="14">
        <f t="shared" si="140"/>
        <v>881.93499705711292</v>
      </c>
      <c r="AI175" s="13">
        <f t="shared" si="141"/>
        <v>1.2784988382346325</v>
      </c>
      <c r="AJ175" s="14">
        <f t="shared" si="142"/>
        <v>828.46845721534669</v>
      </c>
      <c r="AK175" s="13">
        <f t="shared" si="143"/>
        <v>1.2784988382346325</v>
      </c>
      <c r="AL175" s="14">
        <f t="shared" si="144"/>
        <v>828.80035730253599</v>
      </c>
      <c r="AM175" s="13">
        <f t="shared" si="145"/>
        <v>1.2784988382346325</v>
      </c>
      <c r="AN175" s="14">
        <f t="shared" si="146"/>
        <v>828.80035730253599</v>
      </c>
    </row>
    <row r="176" spans="16:40" x14ac:dyDescent="0.25">
      <c r="P176" s="13">
        <f t="shared" si="124"/>
        <v>1.2778541360146003</v>
      </c>
      <c r="Q176" s="14">
        <f t="shared" si="125"/>
        <v>837.57507430162275</v>
      </c>
      <c r="R176" s="13">
        <f t="shared" si="126"/>
        <v>1.3175798244716865</v>
      </c>
      <c r="S176" s="14">
        <f t="shared" si="147"/>
        <v>856.72138385834182</v>
      </c>
      <c r="T176" s="13">
        <f t="shared" si="127"/>
        <v>1.3394374004511849</v>
      </c>
      <c r="U176" s="14">
        <f t="shared" si="128"/>
        <v>866.98926591013526</v>
      </c>
      <c r="V176" s="13">
        <f t="shared" si="129"/>
        <v>1.2753543819101882</v>
      </c>
      <c r="W176" s="14">
        <f t="shared" si="130"/>
        <v>841.99048143554796</v>
      </c>
      <c r="X176" s="13">
        <f t="shared" si="131"/>
        <v>1.2990636508763</v>
      </c>
      <c r="Y176" s="14">
        <f t="shared" si="132"/>
        <v>853.99646238201058</v>
      </c>
      <c r="Z176" s="13">
        <f t="shared" si="133"/>
        <v>1.3284559828356506</v>
      </c>
      <c r="AA176" s="14">
        <f t="shared" si="134"/>
        <v>867.98487027854685</v>
      </c>
      <c r="AB176" s="13">
        <f t="shared" si="135"/>
        <v>1.2680664446230085</v>
      </c>
      <c r="AC176" s="14">
        <f t="shared" si="136"/>
        <v>856.6622688666572</v>
      </c>
      <c r="AD176" s="13">
        <f t="shared" si="137"/>
        <v>1.2911613819695913</v>
      </c>
      <c r="AE176" s="14">
        <f t="shared" si="138"/>
        <v>868.2174196394111</v>
      </c>
      <c r="AF176" s="13">
        <f t="shared" si="139"/>
        <v>1.3198200044488453</v>
      </c>
      <c r="AG176" s="14">
        <f t="shared" si="140"/>
        <v>881.93499705711292</v>
      </c>
      <c r="AI176" s="13">
        <f t="shared" si="141"/>
        <v>1.2784988382346325</v>
      </c>
      <c r="AJ176" s="14">
        <f t="shared" si="142"/>
        <v>828.46845721534669</v>
      </c>
      <c r="AK176" s="13">
        <f t="shared" si="143"/>
        <v>1.2784988382346325</v>
      </c>
      <c r="AL176" s="14">
        <f t="shared" si="144"/>
        <v>828.80035730253599</v>
      </c>
      <c r="AM176" s="13">
        <f t="shared" si="145"/>
        <v>1.2784988382346325</v>
      </c>
      <c r="AN176" s="14">
        <f t="shared" si="146"/>
        <v>828.80035730253599</v>
      </c>
    </row>
    <row r="177" spans="16:40" x14ac:dyDescent="0.25">
      <c r="P177" s="13">
        <f t="shared" si="124"/>
        <v>1.2778541360146003</v>
      </c>
      <c r="Q177" s="14">
        <f t="shared" si="125"/>
        <v>837.57507430162275</v>
      </c>
      <c r="R177" s="13">
        <f t="shared" si="126"/>
        <v>1.3175798244716865</v>
      </c>
      <c r="S177" s="14">
        <f t="shared" si="147"/>
        <v>856.72138385834182</v>
      </c>
      <c r="T177" s="13">
        <f t="shared" si="127"/>
        <v>1.3394374004511849</v>
      </c>
      <c r="U177" s="14">
        <f t="shared" si="128"/>
        <v>866.98926591013526</v>
      </c>
      <c r="V177" s="13">
        <f t="shared" si="129"/>
        <v>1.2753543819101882</v>
      </c>
      <c r="W177" s="14">
        <f t="shared" si="130"/>
        <v>841.99048143554796</v>
      </c>
      <c r="X177" s="13">
        <f t="shared" si="131"/>
        <v>1.2990636508763</v>
      </c>
      <c r="Y177" s="14">
        <f t="shared" si="132"/>
        <v>853.99646238201058</v>
      </c>
      <c r="Z177" s="13">
        <f t="shared" si="133"/>
        <v>1.3284559828356506</v>
      </c>
      <c r="AA177" s="14">
        <f t="shared" si="134"/>
        <v>867.98487027854685</v>
      </c>
      <c r="AB177" s="13">
        <f t="shared" si="135"/>
        <v>1.2680664446230085</v>
      </c>
      <c r="AC177" s="14">
        <f t="shared" si="136"/>
        <v>856.6622688666572</v>
      </c>
      <c r="AD177" s="13">
        <f t="shared" si="137"/>
        <v>1.2911613819695913</v>
      </c>
      <c r="AE177" s="14">
        <f t="shared" si="138"/>
        <v>868.2174196394111</v>
      </c>
      <c r="AF177" s="13">
        <f t="shared" si="139"/>
        <v>1.3198200044488453</v>
      </c>
      <c r="AG177" s="14">
        <f t="shared" si="140"/>
        <v>881.93499705711292</v>
      </c>
      <c r="AI177" s="13">
        <f t="shared" si="141"/>
        <v>1.2784988382346325</v>
      </c>
      <c r="AJ177" s="14">
        <f t="shared" si="142"/>
        <v>828.46845721534669</v>
      </c>
      <c r="AK177" s="13">
        <f t="shared" si="143"/>
        <v>1.2784988382346325</v>
      </c>
      <c r="AL177" s="14">
        <f t="shared" si="144"/>
        <v>828.80035730253599</v>
      </c>
      <c r="AM177" s="13">
        <f t="shared" si="145"/>
        <v>1.2784988382346325</v>
      </c>
      <c r="AN177" s="14">
        <f t="shared" si="146"/>
        <v>828.80035730253599</v>
      </c>
    </row>
    <row r="178" spans="16:40" x14ac:dyDescent="0.25">
      <c r="P178" s="13">
        <f t="shared" si="124"/>
        <v>1.2778541360146003</v>
      </c>
      <c r="Q178" s="14">
        <f t="shared" si="125"/>
        <v>837.57507430162275</v>
      </c>
      <c r="R178" s="13">
        <f t="shared" si="126"/>
        <v>1.3175798244716865</v>
      </c>
      <c r="S178" s="14">
        <f t="shared" si="147"/>
        <v>856.72138385834182</v>
      </c>
      <c r="T178" s="13">
        <f t="shared" si="127"/>
        <v>1.3394374004511849</v>
      </c>
      <c r="U178" s="14">
        <f t="shared" si="128"/>
        <v>866.98926591013526</v>
      </c>
      <c r="V178" s="13">
        <f t="shared" si="129"/>
        <v>1.2753543819101882</v>
      </c>
      <c r="W178" s="14">
        <f t="shared" si="130"/>
        <v>841.99048143554796</v>
      </c>
      <c r="X178" s="13">
        <f t="shared" si="131"/>
        <v>1.2990636508763</v>
      </c>
      <c r="Y178" s="14">
        <f t="shared" si="132"/>
        <v>853.99646238201058</v>
      </c>
      <c r="Z178" s="13">
        <f t="shared" si="133"/>
        <v>1.3284559828356506</v>
      </c>
      <c r="AA178" s="14">
        <f t="shared" si="134"/>
        <v>867.98487027854685</v>
      </c>
      <c r="AB178" s="13">
        <f t="shared" si="135"/>
        <v>1.2680664446230085</v>
      </c>
      <c r="AC178" s="14">
        <f t="shared" si="136"/>
        <v>856.6622688666572</v>
      </c>
      <c r="AD178" s="13">
        <f t="shared" si="137"/>
        <v>1.2911613819695913</v>
      </c>
      <c r="AE178" s="14">
        <f t="shared" si="138"/>
        <v>868.2174196394111</v>
      </c>
      <c r="AF178" s="13">
        <f t="shared" si="139"/>
        <v>1.3198200044488453</v>
      </c>
      <c r="AG178" s="14">
        <f t="shared" si="140"/>
        <v>881.93499705711292</v>
      </c>
      <c r="AI178" s="13">
        <f t="shared" si="141"/>
        <v>1.2784988382346325</v>
      </c>
      <c r="AJ178" s="14">
        <f t="shared" si="142"/>
        <v>828.46845721534669</v>
      </c>
      <c r="AK178" s="13">
        <f t="shared" si="143"/>
        <v>1.2784988382346325</v>
      </c>
      <c r="AL178" s="14">
        <f t="shared" si="144"/>
        <v>828.80035730253599</v>
      </c>
      <c r="AM178" s="13">
        <f t="shared" si="145"/>
        <v>1.2784988382346325</v>
      </c>
      <c r="AN178" s="14">
        <f t="shared" si="146"/>
        <v>828.80035730253599</v>
      </c>
    </row>
    <row r="179" spans="16:40" x14ac:dyDescent="0.25">
      <c r="P179" s="13">
        <f t="shared" si="124"/>
        <v>1.2778541360146003</v>
      </c>
      <c r="Q179" s="14">
        <f t="shared" si="125"/>
        <v>837.57507430162275</v>
      </c>
      <c r="R179" s="13">
        <f t="shared" si="126"/>
        <v>1.3175798244716865</v>
      </c>
      <c r="S179" s="14">
        <f t="shared" si="147"/>
        <v>856.72138385834182</v>
      </c>
      <c r="T179" s="13">
        <f t="shared" si="127"/>
        <v>1.3394374004511849</v>
      </c>
      <c r="U179" s="14">
        <f t="shared" si="128"/>
        <v>866.98926591013526</v>
      </c>
      <c r="V179" s="13">
        <f t="shared" si="129"/>
        <v>1.2753543819101882</v>
      </c>
      <c r="W179" s="14">
        <f t="shared" si="130"/>
        <v>841.99048143554796</v>
      </c>
      <c r="X179" s="13">
        <f t="shared" si="131"/>
        <v>1.2990636508763</v>
      </c>
      <c r="Y179" s="14">
        <f t="shared" si="132"/>
        <v>853.99646238201058</v>
      </c>
      <c r="Z179" s="13">
        <f t="shared" si="133"/>
        <v>1.3284559828356506</v>
      </c>
      <c r="AA179" s="14">
        <f t="shared" si="134"/>
        <v>867.98487027854685</v>
      </c>
      <c r="AB179" s="13">
        <f t="shared" si="135"/>
        <v>1.2680664446230085</v>
      </c>
      <c r="AC179" s="14">
        <f t="shared" si="136"/>
        <v>856.6622688666572</v>
      </c>
      <c r="AD179" s="13">
        <f t="shared" si="137"/>
        <v>1.2911613819695913</v>
      </c>
      <c r="AE179" s="14">
        <f t="shared" si="138"/>
        <v>868.2174196394111</v>
      </c>
      <c r="AF179" s="13">
        <f t="shared" si="139"/>
        <v>1.3198200044488453</v>
      </c>
      <c r="AG179" s="14">
        <f t="shared" si="140"/>
        <v>881.93499705711292</v>
      </c>
      <c r="AI179" s="13">
        <f t="shared" si="141"/>
        <v>1.2784988382346325</v>
      </c>
      <c r="AJ179" s="14">
        <f t="shared" si="142"/>
        <v>828.46845721534669</v>
      </c>
      <c r="AK179" s="13">
        <f t="shared" si="143"/>
        <v>1.2784988382346325</v>
      </c>
      <c r="AL179" s="14">
        <f t="shared" si="144"/>
        <v>828.80035730253599</v>
      </c>
      <c r="AM179" s="13">
        <f t="shared" si="145"/>
        <v>1.2784988382346325</v>
      </c>
      <c r="AN179" s="14">
        <f t="shared" si="146"/>
        <v>828.80035730253599</v>
      </c>
    </row>
    <row r="180" spans="16:40" x14ac:dyDescent="0.25">
      <c r="P180" s="13">
        <f t="shared" si="124"/>
        <v>1.2778541360146003</v>
      </c>
      <c r="Q180" s="14">
        <f t="shared" si="125"/>
        <v>837.57507430162275</v>
      </c>
      <c r="R180" s="13">
        <f t="shared" si="126"/>
        <v>1.3175798244716865</v>
      </c>
      <c r="S180" s="14">
        <f t="shared" si="147"/>
        <v>856.72138385834182</v>
      </c>
      <c r="T180" s="13">
        <f t="shared" si="127"/>
        <v>1.3394374004511849</v>
      </c>
      <c r="U180" s="14">
        <f t="shared" si="128"/>
        <v>866.98926591013526</v>
      </c>
      <c r="V180" s="13">
        <f t="shared" si="129"/>
        <v>1.2753543819101882</v>
      </c>
      <c r="W180" s="14">
        <f t="shared" si="130"/>
        <v>841.99048143554796</v>
      </c>
      <c r="X180" s="13">
        <f t="shared" si="131"/>
        <v>1.2990636508763</v>
      </c>
      <c r="Y180" s="14">
        <f t="shared" si="132"/>
        <v>853.99646238201058</v>
      </c>
      <c r="Z180" s="13">
        <f t="shared" si="133"/>
        <v>1.3284559828356506</v>
      </c>
      <c r="AA180" s="14">
        <f t="shared" si="134"/>
        <v>867.98487027854685</v>
      </c>
      <c r="AB180" s="13">
        <f t="shared" si="135"/>
        <v>1.2680664446230085</v>
      </c>
      <c r="AC180" s="14">
        <f t="shared" si="136"/>
        <v>856.6622688666572</v>
      </c>
      <c r="AD180" s="13">
        <f t="shared" si="137"/>
        <v>1.2911613819695913</v>
      </c>
      <c r="AE180" s="14">
        <f t="shared" si="138"/>
        <v>868.2174196394111</v>
      </c>
      <c r="AF180" s="13">
        <f t="shared" si="139"/>
        <v>1.3198200044488453</v>
      </c>
      <c r="AG180" s="14">
        <f t="shared" si="140"/>
        <v>881.93499705711292</v>
      </c>
      <c r="AI180" s="13">
        <f t="shared" si="141"/>
        <v>1.2784988382346325</v>
      </c>
      <c r="AJ180" s="14">
        <f t="shared" si="142"/>
        <v>828.46845721534669</v>
      </c>
      <c r="AK180" s="13">
        <f t="shared" si="143"/>
        <v>1.2784988382346325</v>
      </c>
      <c r="AL180" s="14">
        <f t="shared" si="144"/>
        <v>828.80035730253599</v>
      </c>
      <c r="AM180" s="13">
        <f t="shared" si="145"/>
        <v>1.2784988382346325</v>
      </c>
      <c r="AN180" s="14">
        <f t="shared" si="146"/>
        <v>828.80035730253599</v>
      </c>
    </row>
    <row r="181" spans="16:40" x14ac:dyDescent="0.25">
      <c r="P181" s="13">
        <f t="shared" si="124"/>
        <v>1.2778541360146003</v>
      </c>
      <c r="Q181" s="14">
        <f t="shared" si="125"/>
        <v>837.57507430162275</v>
      </c>
      <c r="R181" s="13">
        <f t="shared" si="126"/>
        <v>1.3175798244716865</v>
      </c>
      <c r="S181" s="14">
        <f t="shared" si="147"/>
        <v>856.72138385834182</v>
      </c>
      <c r="T181" s="13">
        <f t="shared" si="127"/>
        <v>1.3394374004511849</v>
      </c>
      <c r="U181" s="14">
        <f t="shared" si="128"/>
        <v>866.98926591013526</v>
      </c>
      <c r="V181" s="13">
        <f t="shared" si="129"/>
        <v>1.2753543819101882</v>
      </c>
      <c r="W181" s="14">
        <f t="shared" si="130"/>
        <v>841.99048143554796</v>
      </c>
      <c r="X181" s="13">
        <f t="shared" si="131"/>
        <v>1.2990636508763</v>
      </c>
      <c r="Y181" s="14">
        <f t="shared" si="132"/>
        <v>853.99646238201058</v>
      </c>
      <c r="Z181" s="13">
        <f t="shared" si="133"/>
        <v>1.3284559828356506</v>
      </c>
      <c r="AA181" s="14">
        <f t="shared" si="134"/>
        <v>867.98487027854685</v>
      </c>
      <c r="AB181" s="13">
        <f t="shared" si="135"/>
        <v>1.2680664446230085</v>
      </c>
      <c r="AC181" s="14">
        <f t="shared" si="136"/>
        <v>856.6622688666572</v>
      </c>
      <c r="AD181" s="13">
        <f t="shared" si="137"/>
        <v>1.2911613819695913</v>
      </c>
      <c r="AE181" s="14">
        <f t="shared" si="138"/>
        <v>868.2174196394111</v>
      </c>
      <c r="AF181" s="13">
        <f t="shared" si="139"/>
        <v>1.3198200044488453</v>
      </c>
      <c r="AG181" s="14">
        <f t="shared" si="140"/>
        <v>881.93499705711292</v>
      </c>
      <c r="AI181" s="13">
        <f t="shared" si="141"/>
        <v>1.2784988382346325</v>
      </c>
      <c r="AJ181" s="14">
        <f t="shared" si="142"/>
        <v>828.46845721534669</v>
      </c>
      <c r="AK181" s="13">
        <f t="shared" si="143"/>
        <v>1.2784988382346325</v>
      </c>
      <c r="AL181" s="14">
        <f t="shared" si="144"/>
        <v>828.80035730253599</v>
      </c>
      <c r="AM181" s="13">
        <f t="shared" si="145"/>
        <v>1.2784988382346325</v>
      </c>
      <c r="AN181" s="14">
        <f t="shared" si="146"/>
        <v>828.80035730253599</v>
      </c>
    </row>
    <row r="182" spans="16:40" x14ac:dyDescent="0.25">
      <c r="P182" s="13">
        <f t="shared" si="124"/>
        <v>1.2778541360146003</v>
      </c>
      <c r="Q182" s="14">
        <f t="shared" si="125"/>
        <v>837.57507430162275</v>
      </c>
      <c r="R182" s="13">
        <f t="shared" si="126"/>
        <v>1.3175798244716865</v>
      </c>
      <c r="S182" s="14">
        <f t="shared" si="147"/>
        <v>856.72138385834182</v>
      </c>
      <c r="T182" s="13">
        <f t="shared" si="127"/>
        <v>1.3394374004511849</v>
      </c>
      <c r="U182" s="14">
        <f t="shared" si="128"/>
        <v>866.98926591013526</v>
      </c>
      <c r="V182" s="13">
        <f t="shared" si="129"/>
        <v>1.2753543819101882</v>
      </c>
      <c r="W182" s="14">
        <f t="shared" si="130"/>
        <v>841.99048143554796</v>
      </c>
      <c r="X182" s="13">
        <f t="shared" si="131"/>
        <v>1.2990636508763</v>
      </c>
      <c r="Y182" s="14">
        <f t="shared" si="132"/>
        <v>853.99646238201058</v>
      </c>
      <c r="Z182" s="13">
        <f t="shared" si="133"/>
        <v>1.3284559828356506</v>
      </c>
      <c r="AA182" s="14">
        <f t="shared" si="134"/>
        <v>867.98487027854685</v>
      </c>
      <c r="AB182" s="13">
        <f t="shared" si="135"/>
        <v>1.2680664446230085</v>
      </c>
      <c r="AC182" s="14">
        <f t="shared" si="136"/>
        <v>856.6622688666572</v>
      </c>
      <c r="AD182" s="13">
        <f t="shared" si="137"/>
        <v>1.2911613819695913</v>
      </c>
      <c r="AE182" s="14">
        <f t="shared" si="138"/>
        <v>868.2174196394111</v>
      </c>
      <c r="AF182" s="13">
        <f t="shared" si="139"/>
        <v>1.3198200044488453</v>
      </c>
      <c r="AG182" s="14">
        <f t="shared" si="140"/>
        <v>881.93499705711292</v>
      </c>
      <c r="AI182" s="13">
        <f t="shared" si="141"/>
        <v>1.2784988382346325</v>
      </c>
      <c r="AJ182" s="14">
        <f t="shared" si="142"/>
        <v>828.46845721534669</v>
      </c>
      <c r="AK182" s="13">
        <f t="shared" si="143"/>
        <v>1.2784988382346325</v>
      </c>
      <c r="AL182" s="14">
        <f t="shared" si="144"/>
        <v>828.80035730253599</v>
      </c>
      <c r="AM182" s="13">
        <f t="shared" si="145"/>
        <v>1.2784988382346325</v>
      </c>
      <c r="AN182" s="14">
        <f t="shared" si="146"/>
        <v>828.80035730253599</v>
      </c>
    </row>
    <row r="183" spans="16:40" x14ac:dyDescent="0.25">
      <c r="P183" s="13">
        <f t="shared" si="124"/>
        <v>1.2778541360146003</v>
      </c>
      <c r="Q183" s="14">
        <f t="shared" si="125"/>
        <v>837.57507430162275</v>
      </c>
      <c r="R183" s="13">
        <f t="shared" si="126"/>
        <v>1.3175798244716865</v>
      </c>
      <c r="S183" s="14">
        <f t="shared" si="147"/>
        <v>856.72138385834182</v>
      </c>
      <c r="T183" s="13">
        <f t="shared" si="127"/>
        <v>1.3394374004511849</v>
      </c>
      <c r="U183" s="14">
        <f t="shared" si="128"/>
        <v>866.98926591013526</v>
      </c>
      <c r="V183" s="13">
        <f t="shared" si="129"/>
        <v>1.2753543819101882</v>
      </c>
      <c r="W183" s="14">
        <f t="shared" si="130"/>
        <v>841.99048143554796</v>
      </c>
      <c r="X183" s="13">
        <f t="shared" si="131"/>
        <v>1.2990636508763</v>
      </c>
      <c r="Y183" s="14">
        <f t="shared" si="132"/>
        <v>853.99646238201058</v>
      </c>
      <c r="Z183" s="13">
        <f t="shared" si="133"/>
        <v>1.3284559828356506</v>
      </c>
      <c r="AA183" s="14">
        <f t="shared" si="134"/>
        <v>867.98487027854685</v>
      </c>
      <c r="AB183" s="13">
        <f t="shared" si="135"/>
        <v>1.2680664446230085</v>
      </c>
      <c r="AC183" s="14">
        <f t="shared" si="136"/>
        <v>856.6622688666572</v>
      </c>
      <c r="AD183" s="13">
        <f t="shared" si="137"/>
        <v>1.2911613819695913</v>
      </c>
      <c r="AE183" s="14">
        <f t="shared" si="138"/>
        <v>868.2174196394111</v>
      </c>
      <c r="AF183" s="13">
        <f t="shared" si="139"/>
        <v>1.3198200044488453</v>
      </c>
      <c r="AG183" s="14">
        <f t="shared" si="140"/>
        <v>881.93499705711292</v>
      </c>
      <c r="AI183" s="13">
        <f t="shared" si="141"/>
        <v>1.2784988382346325</v>
      </c>
      <c r="AJ183" s="14">
        <f t="shared" si="142"/>
        <v>828.46845721534669</v>
      </c>
      <c r="AK183" s="13">
        <f t="shared" si="143"/>
        <v>1.2784988382346325</v>
      </c>
      <c r="AL183" s="14">
        <f t="shared" si="144"/>
        <v>828.80035730253599</v>
      </c>
      <c r="AM183" s="13">
        <f t="shared" si="145"/>
        <v>1.2784988382346325</v>
      </c>
      <c r="AN183" s="14">
        <f t="shared" si="146"/>
        <v>828.80035730253599</v>
      </c>
    </row>
    <row r="184" spans="16:40" x14ac:dyDescent="0.25">
      <c r="P184" s="13">
        <f t="shared" si="124"/>
        <v>1.2778541360146003</v>
      </c>
      <c r="Q184" s="14">
        <f t="shared" si="125"/>
        <v>837.57507430162275</v>
      </c>
      <c r="R184" s="13">
        <f t="shared" si="126"/>
        <v>1.3175798244716865</v>
      </c>
      <c r="S184" s="14">
        <f t="shared" si="147"/>
        <v>856.72138385834182</v>
      </c>
      <c r="T184" s="13">
        <f t="shared" si="127"/>
        <v>1.3394374004511849</v>
      </c>
      <c r="U184" s="14">
        <f t="shared" si="128"/>
        <v>866.98926591013526</v>
      </c>
      <c r="V184" s="13">
        <f t="shared" si="129"/>
        <v>1.2753543819101882</v>
      </c>
      <c r="W184" s="14">
        <f t="shared" si="130"/>
        <v>841.99048143554796</v>
      </c>
      <c r="X184" s="13">
        <f t="shared" si="131"/>
        <v>1.2990636508763</v>
      </c>
      <c r="Y184" s="14">
        <f t="shared" si="132"/>
        <v>853.99646238201058</v>
      </c>
      <c r="Z184" s="13">
        <f t="shared" si="133"/>
        <v>1.3284559828356506</v>
      </c>
      <c r="AA184" s="14">
        <f t="shared" si="134"/>
        <v>867.98487027854685</v>
      </c>
      <c r="AB184" s="13">
        <f t="shared" si="135"/>
        <v>1.2680664446230085</v>
      </c>
      <c r="AC184" s="14">
        <f t="shared" si="136"/>
        <v>856.6622688666572</v>
      </c>
      <c r="AD184" s="13">
        <f t="shared" si="137"/>
        <v>1.2911613819695913</v>
      </c>
      <c r="AE184" s="14">
        <f t="shared" si="138"/>
        <v>868.2174196394111</v>
      </c>
      <c r="AF184" s="13">
        <f t="shared" si="139"/>
        <v>1.3198200044488453</v>
      </c>
      <c r="AG184" s="14">
        <f t="shared" si="140"/>
        <v>881.93499705711292</v>
      </c>
      <c r="AI184" s="13">
        <f t="shared" si="141"/>
        <v>1.2784988382346325</v>
      </c>
      <c r="AJ184" s="14">
        <f t="shared" si="142"/>
        <v>828.46845721534669</v>
      </c>
      <c r="AK184" s="13">
        <f t="shared" si="143"/>
        <v>1.2784988382346325</v>
      </c>
      <c r="AL184" s="14">
        <f t="shared" si="144"/>
        <v>828.80035730253599</v>
      </c>
      <c r="AM184" s="13">
        <f t="shared" si="145"/>
        <v>1.2784988382346325</v>
      </c>
      <c r="AN184" s="14">
        <f t="shared" si="146"/>
        <v>828.80035730253599</v>
      </c>
    </row>
    <row r="185" spans="16:40" x14ac:dyDescent="0.25">
      <c r="P185" s="13">
        <f t="shared" si="124"/>
        <v>1.2778541360146003</v>
      </c>
      <c r="Q185" s="14">
        <f t="shared" si="125"/>
        <v>837.57507430162275</v>
      </c>
      <c r="R185" s="13">
        <f t="shared" si="126"/>
        <v>1.3175798244716865</v>
      </c>
      <c r="S185" s="14">
        <f t="shared" si="147"/>
        <v>856.72138385834182</v>
      </c>
      <c r="T185" s="13">
        <f t="shared" si="127"/>
        <v>1.3394374004511849</v>
      </c>
      <c r="U185" s="14">
        <f t="shared" si="128"/>
        <v>866.98926591013526</v>
      </c>
      <c r="V185" s="13">
        <f t="shared" si="129"/>
        <v>1.2753543819101882</v>
      </c>
      <c r="W185" s="14">
        <f t="shared" si="130"/>
        <v>841.99048143554796</v>
      </c>
      <c r="X185" s="13">
        <f t="shared" si="131"/>
        <v>1.2990636508763</v>
      </c>
      <c r="Y185" s="14">
        <f t="shared" si="132"/>
        <v>853.99646238201058</v>
      </c>
      <c r="Z185" s="13">
        <f t="shared" si="133"/>
        <v>1.3284559828356506</v>
      </c>
      <c r="AA185" s="14">
        <f t="shared" si="134"/>
        <v>867.98487027854685</v>
      </c>
      <c r="AB185" s="13">
        <f t="shared" si="135"/>
        <v>1.2680664446230085</v>
      </c>
      <c r="AC185" s="14">
        <f t="shared" si="136"/>
        <v>856.6622688666572</v>
      </c>
      <c r="AD185" s="13">
        <f t="shared" si="137"/>
        <v>1.2911613819695913</v>
      </c>
      <c r="AE185" s="14">
        <f t="shared" si="138"/>
        <v>868.2174196394111</v>
      </c>
      <c r="AF185" s="13">
        <f t="shared" si="139"/>
        <v>1.3198200044488453</v>
      </c>
      <c r="AG185" s="14">
        <f t="shared" si="140"/>
        <v>881.93499705711292</v>
      </c>
      <c r="AI185" s="13">
        <f t="shared" si="141"/>
        <v>1.2784988382346325</v>
      </c>
      <c r="AJ185" s="14">
        <f t="shared" si="142"/>
        <v>828.46845721534669</v>
      </c>
      <c r="AK185" s="13">
        <f t="shared" si="143"/>
        <v>1.2784988382346325</v>
      </c>
      <c r="AL185" s="14">
        <f t="shared" si="144"/>
        <v>828.80035730253599</v>
      </c>
      <c r="AM185" s="13">
        <f t="shared" si="145"/>
        <v>1.2784988382346325</v>
      </c>
      <c r="AN185" s="14">
        <f t="shared" si="146"/>
        <v>828.80035730253599</v>
      </c>
    </row>
    <row r="186" spans="16:40" x14ac:dyDescent="0.25">
      <c r="P186" s="13">
        <f t="shared" si="124"/>
        <v>1.2778541360146003</v>
      </c>
      <c r="Q186" s="14">
        <f t="shared" si="125"/>
        <v>837.57507430162275</v>
      </c>
      <c r="R186" s="13">
        <f t="shared" si="126"/>
        <v>1.3175798244716865</v>
      </c>
      <c r="S186" s="14">
        <f t="shared" si="147"/>
        <v>856.72138385834182</v>
      </c>
      <c r="T186" s="13">
        <f t="shared" si="127"/>
        <v>1.3394374004511849</v>
      </c>
      <c r="U186" s="14">
        <f t="shared" si="128"/>
        <v>866.98926591013526</v>
      </c>
      <c r="V186" s="13">
        <f t="shared" si="129"/>
        <v>1.2753543819101882</v>
      </c>
      <c r="W186" s="14">
        <f t="shared" si="130"/>
        <v>841.99048143554796</v>
      </c>
      <c r="X186" s="13">
        <f t="shared" si="131"/>
        <v>1.2990636508763</v>
      </c>
      <c r="Y186" s="14">
        <f t="shared" si="132"/>
        <v>853.99646238201058</v>
      </c>
      <c r="Z186" s="13">
        <f t="shared" si="133"/>
        <v>1.3284559828356506</v>
      </c>
      <c r="AA186" s="14">
        <f t="shared" si="134"/>
        <v>867.98487027854685</v>
      </c>
      <c r="AB186" s="13">
        <f t="shared" si="135"/>
        <v>1.2680664446230085</v>
      </c>
      <c r="AC186" s="14">
        <f t="shared" si="136"/>
        <v>856.6622688666572</v>
      </c>
      <c r="AD186" s="13">
        <f t="shared" si="137"/>
        <v>1.2911613819695913</v>
      </c>
      <c r="AE186" s="14">
        <f t="shared" si="138"/>
        <v>868.2174196394111</v>
      </c>
      <c r="AF186" s="13">
        <f t="shared" si="139"/>
        <v>1.3198200044488453</v>
      </c>
      <c r="AG186" s="14">
        <f t="shared" si="140"/>
        <v>881.93499705711292</v>
      </c>
      <c r="AI186" s="13">
        <f t="shared" si="141"/>
        <v>1.2784988382346325</v>
      </c>
      <c r="AJ186" s="14">
        <f t="shared" si="142"/>
        <v>828.46845721534669</v>
      </c>
      <c r="AK186" s="13">
        <f t="shared" si="143"/>
        <v>1.2784988382346325</v>
      </c>
      <c r="AL186" s="14">
        <f t="shared" si="144"/>
        <v>828.80035730253599</v>
      </c>
      <c r="AM186" s="13">
        <f t="shared" si="145"/>
        <v>1.2784988382346325</v>
      </c>
      <c r="AN186" s="14">
        <f t="shared" si="146"/>
        <v>828.80035730253599</v>
      </c>
    </row>
    <row r="187" spans="16:40" x14ac:dyDescent="0.25">
      <c r="P187" s="13">
        <f t="shared" si="124"/>
        <v>1.2778541360146003</v>
      </c>
      <c r="Q187" s="14">
        <f t="shared" si="125"/>
        <v>837.57507430162275</v>
      </c>
      <c r="R187" s="13">
        <f t="shared" si="126"/>
        <v>1.3175798244716865</v>
      </c>
      <c r="S187" s="14">
        <f t="shared" si="147"/>
        <v>856.72138385834182</v>
      </c>
      <c r="T187" s="13">
        <f t="shared" si="127"/>
        <v>1.3394374004511849</v>
      </c>
      <c r="U187" s="14">
        <f t="shared" si="128"/>
        <v>866.98926591013526</v>
      </c>
      <c r="V187" s="13">
        <f t="shared" si="129"/>
        <v>1.2753543819101882</v>
      </c>
      <c r="W187" s="14">
        <f t="shared" si="130"/>
        <v>841.99048143554796</v>
      </c>
      <c r="X187" s="13">
        <f t="shared" si="131"/>
        <v>1.2990636508763</v>
      </c>
      <c r="Y187" s="14">
        <f t="shared" si="132"/>
        <v>853.99646238201058</v>
      </c>
      <c r="Z187" s="13">
        <f t="shared" si="133"/>
        <v>1.3284559828356506</v>
      </c>
      <c r="AA187" s="14">
        <f t="shared" si="134"/>
        <v>867.98487027854685</v>
      </c>
      <c r="AB187" s="13">
        <f t="shared" si="135"/>
        <v>1.2680664446230085</v>
      </c>
      <c r="AC187" s="14">
        <f t="shared" si="136"/>
        <v>856.6622688666572</v>
      </c>
      <c r="AD187" s="13">
        <f t="shared" si="137"/>
        <v>1.2911613819695913</v>
      </c>
      <c r="AE187" s="14">
        <f t="shared" si="138"/>
        <v>868.2174196394111</v>
      </c>
      <c r="AF187" s="13">
        <f t="shared" si="139"/>
        <v>1.3198200044488453</v>
      </c>
      <c r="AG187" s="14">
        <f t="shared" si="140"/>
        <v>881.93499705711292</v>
      </c>
      <c r="AI187" s="13">
        <f t="shared" si="141"/>
        <v>1.2784988382346325</v>
      </c>
      <c r="AJ187" s="14">
        <f t="shared" si="142"/>
        <v>828.46845721534669</v>
      </c>
      <c r="AK187" s="13">
        <f t="shared" si="143"/>
        <v>1.2784988382346325</v>
      </c>
      <c r="AL187" s="14">
        <f t="shared" si="144"/>
        <v>828.80035730253599</v>
      </c>
      <c r="AM187" s="13">
        <f t="shared" si="145"/>
        <v>1.2784988382346325</v>
      </c>
      <c r="AN187" s="14">
        <f t="shared" si="146"/>
        <v>828.80035730253599</v>
      </c>
    </row>
    <row r="188" spans="16:40" x14ac:dyDescent="0.25">
      <c r="P188" s="13">
        <f t="shared" si="124"/>
        <v>1.2778541360146003</v>
      </c>
      <c r="Q188" s="14">
        <f t="shared" si="125"/>
        <v>837.57507430162275</v>
      </c>
      <c r="R188" s="13">
        <f t="shared" si="126"/>
        <v>1.3175798244716865</v>
      </c>
      <c r="S188" s="14">
        <f t="shared" si="147"/>
        <v>856.72138385834182</v>
      </c>
      <c r="T188" s="13">
        <f t="shared" si="127"/>
        <v>1.3394374004511849</v>
      </c>
      <c r="U188" s="14">
        <f t="shared" si="128"/>
        <v>866.98926591013526</v>
      </c>
      <c r="V188" s="13">
        <f t="shared" si="129"/>
        <v>1.2753543819101882</v>
      </c>
      <c r="W188" s="14">
        <f t="shared" si="130"/>
        <v>841.99048143554796</v>
      </c>
      <c r="X188" s="13">
        <f t="shared" si="131"/>
        <v>1.2990636508763</v>
      </c>
      <c r="Y188" s="14">
        <f t="shared" si="132"/>
        <v>853.99646238201058</v>
      </c>
      <c r="Z188" s="13">
        <f t="shared" si="133"/>
        <v>1.3284559828356506</v>
      </c>
      <c r="AA188" s="14">
        <f t="shared" si="134"/>
        <v>867.98487027854685</v>
      </c>
      <c r="AB188" s="13">
        <f t="shared" si="135"/>
        <v>1.2680664446230085</v>
      </c>
      <c r="AC188" s="14">
        <f t="shared" si="136"/>
        <v>856.6622688666572</v>
      </c>
      <c r="AD188" s="13">
        <f t="shared" si="137"/>
        <v>1.2911613819695913</v>
      </c>
      <c r="AE188" s="14">
        <f t="shared" si="138"/>
        <v>868.2174196394111</v>
      </c>
      <c r="AF188" s="13">
        <f t="shared" si="139"/>
        <v>1.3198200044488453</v>
      </c>
      <c r="AG188" s="14">
        <f t="shared" si="140"/>
        <v>881.93499705711292</v>
      </c>
      <c r="AI188" s="13">
        <f t="shared" si="141"/>
        <v>1.2784988382346325</v>
      </c>
      <c r="AJ188" s="14">
        <f t="shared" si="142"/>
        <v>828.46845721534669</v>
      </c>
      <c r="AK188" s="13">
        <f t="shared" si="143"/>
        <v>1.2784988382346325</v>
      </c>
      <c r="AL188" s="14">
        <f t="shared" si="144"/>
        <v>828.80035730253599</v>
      </c>
      <c r="AM188" s="13">
        <f t="shared" si="145"/>
        <v>1.2784988382346325</v>
      </c>
      <c r="AN188" s="14">
        <f t="shared" si="146"/>
        <v>828.80035730253599</v>
      </c>
    </row>
    <row r="189" spans="16:40" x14ac:dyDescent="0.25">
      <c r="P189" s="13">
        <f t="shared" si="124"/>
        <v>1.2778541360146003</v>
      </c>
      <c r="Q189" s="14">
        <f t="shared" si="125"/>
        <v>837.57507430162275</v>
      </c>
      <c r="R189" s="13">
        <f t="shared" si="126"/>
        <v>1.3175798244716865</v>
      </c>
      <c r="S189" s="14">
        <f t="shared" si="147"/>
        <v>856.72138385834182</v>
      </c>
      <c r="T189" s="13">
        <f t="shared" si="127"/>
        <v>1.3394374004511849</v>
      </c>
      <c r="U189" s="14">
        <f t="shared" si="128"/>
        <v>866.98926591013526</v>
      </c>
      <c r="V189" s="13">
        <f t="shared" si="129"/>
        <v>1.2753543819101882</v>
      </c>
      <c r="W189" s="14">
        <f t="shared" si="130"/>
        <v>841.99048143554796</v>
      </c>
      <c r="X189" s="13">
        <f t="shared" si="131"/>
        <v>1.2990636508763</v>
      </c>
      <c r="Y189" s="14">
        <f t="shared" si="132"/>
        <v>853.99646238201058</v>
      </c>
      <c r="Z189" s="13">
        <f t="shared" si="133"/>
        <v>1.3284559828356506</v>
      </c>
      <c r="AA189" s="14">
        <f t="shared" si="134"/>
        <v>867.98487027854685</v>
      </c>
      <c r="AB189" s="13">
        <f t="shared" si="135"/>
        <v>1.2680664446230085</v>
      </c>
      <c r="AC189" s="14">
        <f t="shared" si="136"/>
        <v>856.6622688666572</v>
      </c>
      <c r="AD189" s="13">
        <f t="shared" si="137"/>
        <v>1.2911613819695913</v>
      </c>
      <c r="AE189" s="14">
        <f t="shared" si="138"/>
        <v>868.2174196394111</v>
      </c>
      <c r="AF189" s="13">
        <f t="shared" si="139"/>
        <v>1.3198200044488453</v>
      </c>
      <c r="AG189" s="14">
        <f t="shared" si="140"/>
        <v>881.93499705711292</v>
      </c>
      <c r="AI189" s="13">
        <f t="shared" si="141"/>
        <v>1.2784988382346325</v>
      </c>
      <c r="AJ189" s="14">
        <f t="shared" si="142"/>
        <v>828.46845721534669</v>
      </c>
      <c r="AK189" s="13">
        <f t="shared" si="143"/>
        <v>1.2784988382346325</v>
      </c>
      <c r="AL189" s="14">
        <f t="shared" si="144"/>
        <v>828.80035730253599</v>
      </c>
      <c r="AM189" s="13">
        <f t="shared" si="145"/>
        <v>1.2784988382346325</v>
      </c>
      <c r="AN189" s="14">
        <f t="shared" si="146"/>
        <v>828.80035730253599</v>
      </c>
    </row>
    <row r="190" spans="16:40" x14ac:dyDescent="0.25">
      <c r="P190" s="13">
        <f t="shared" si="124"/>
        <v>1.2778541360146003</v>
      </c>
      <c r="Q190" s="14">
        <f t="shared" si="125"/>
        <v>837.57507430162275</v>
      </c>
      <c r="R190" s="13">
        <f t="shared" si="126"/>
        <v>1.3175798244716865</v>
      </c>
      <c r="S190" s="14">
        <f t="shared" si="147"/>
        <v>856.72138385834182</v>
      </c>
      <c r="T190" s="13">
        <f t="shared" si="127"/>
        <v>1.3394374004511849</v>
      </c>
      <c r="U190" s="14">
        <f t="shared" si="128"/>
        <v>866.98926591013526</v>
      </c>
      <c r="V190" s="13">
        <f t="shared" si="129"/>
        <v>1.2753543819101882</v>
      </c>
      <c r="W190" s="14">
        <f t="shared" si="130"/>
        <v>841.99048143554796</v>
      </c>
      <c r="X190" s="13">
        <f t="shared" si="131"/>
        <v>1.2990636508763</v>
      </c>
      <c r="Y190" s="14">
        <f t="shared" si="132"/>
        <v>853.99646238201058</v>
      </c>
      <c r="Z190" s="13">
        <f t="shared" si="133"/>
        <v>1.3284559828356506</v>
      </c>
      <c r="AA190" s="14">
        <f t="shared" si="134"/>
        <v>867.98487027854685</v>
      </c>
      <c r="AB190" s="13">
        <f t="shared" si="135"/>
        <v>1.2680664446230085</v>
      </c>
      <c r="AC190" s="14">
        <f t="shared" si="136"/>
        <v>856.6622688666572</v>
      </c>
      <c r="AD190" s="13">
        <f t="shared" si="137"/>
        <v>1.2911613819695913</v>
      </c>
      <c r="AE190" s="14">
        <f t="shared" si="138"/>
        <v>868.2174196394111</v>
      </c>
      <c r="AF190" s="13">
        <f t="shared" si="139"/>
        <v>1.3198200044488453</v>
      </c>
      <c r="AG190" s="14">
        <f t="shared" si="140"/>
        <v>881.93499705711292</v>
      </c>
      <c r="AI190" s="13">
        <f t="shared" si="141"/>
        <v>1.2784988382346325</v>
      </c>
      <c r="AJ190" s="14">
        <f t="shared" si="142"/>
        <v>828.46845721534669</v>
      </c>
      <c r="AK190" s="13">
        <f t="shared" si="143"/>
        <v>1.2784988382346325</v>
      </c>
      <c r="AL190" s="14">
        <f t="shared" si="144"/>
        <v>828.80035730253599</v>
      </c>
      <c r="AM190" s="13">
        <f t="shared" si="145"/>
        <v>1.2784988382346325</v>
      </c>
      <c r="AN190" s="14">
        <f t="shared" si="146"/>
        <v>828.80035730253599</v>
      </c>
    </row>
    <row r="191" spans="16:40" x14ac:dyDescent="0.25">
      <c r="P191" s="13">
        <f t="shared" si="124"/>
        <v>1.2778541360146003</v>
      </c>
      <c r="Q191" s="14">
        <f t="shared" si="125"/>
        <v>837.57507430162275</v>
      </c>
      <c r="R191" s="13">
        <f t="shared" si="126"/>
        <v>1.3175798244716865</v>
      </c>
      <c r="S191" s="14">
        <f t="shared" si="147"/>
        <v>856.72138385834182</v>
      </c>
      <c r="T191" s="13">
        <f t="shared" si="127"/>
        <v>1.3394374004511849</v>
      </c>
      <c r="U191" s="14">
        <f t="shared" si="128"/>
        <v>866.98926591013526</v>
      </c>
      <c r="V191" s="13">
        <f t="shared" si="129"/>
        <v>1.2753543819101882</v>
      </c>
      <c r="W191" s="14">
        <f t="shared" si="130"/>
        <v>841.99048143554796</v>
      </c>
      <c r="X191" s="13">
        <f t="shared" si="131"/>
        <v>1.2990636508763</v>
      </c>
      <c r="Y191" s="14">
        <f t="shared" si="132"/>
        <v>853.99646238201058</v>
      </c>
      <c r="Z191" s="13">
        <f t="shared" si="133"/>
        <v>1.3284559828356506</v>
      </c>
      <c r="AA191" s="14">
        <f t="shared" si="134"/>
        <v>867.98487027854685</v>
      </c>
      <c r="AB191" s="13">
        <f t="shared" si="135"/>
        <v>1.2680664446230085</v>
      </c>
      <c r="AC191" s="14">
        <f t="shared" si="136"/>
        <v>856.6622688666572</v>
      </c>
      <c r="AD191" s="13">
        <f t="shared" si="137"/>
        <v>1.2911613819695913</v>
      </c>
      <c r="AE191" s="14">
        <f t="shared" si="138"/>
        <v>868.2174196394111</v>
      </c>
      <c r="AF191" s="13">
        <f t="shared" si="139"/>
        <v>1.3198200044488453</v>
      </c>
      <c r="AG191" s="14">
        <f t="shared" si="140"/>
        <v>881.93499705711292</v>
      </c>
      <c r="AI191" s="13">
        <f t="shared" si="141"/>
        <v>1.2784988382346325</v>
      </c>
      <c r="AJ191" s="14">
        <f t="shared" si="142"/>
        <v>828.46845721534669</v>
      </c>
      <c r="AK191" s="13">
        <f t="shared" si="143"/>
        <v>1.2784988382346325</v>
      </c>
      <c r="AL191" s="14">
        <f t="shared" si="144"/>
        <v>828.80035730253599</v>
      </c>
      <c r="AM191" s="13">
        <f t="shared" si="145"/>
        <v>1.2784988382346325</v>
      </c>
      <c r="AN191" s="14">
        <f t="shared" si="146"/>
        <v>828.80035730253599</v>
      </c>
    </row>
    <row r="192" spans="16:40" x14ac:dyDescent="0.25">
      <c r="P192" s="13">
        <f t="shared" si="124"/>
        <v>1.2778541360146003</v>
      </c>
      <c r="Q192" s="14">
        <f t="shared" si="125"/>
        <v>837.57507430162275</v>
      </c>
      <c r="R192" s="13">
        <f t="shared" si="126"/>
        <v>1.3175798244716865</v>
      </c>
      <c r="S192" s="14">
        <f t="shared" si="147"/>
        <v>856.72138385834182</v>
      </c>
      <c r="T192" s="13">
        <f t="shared" si="127"/>
        <v>1.3394374004511849</v>
      </c>
      <c r="U192" s="14">
        <f t="shared" si="128"/>
        <v>866.98926591013526</v>
      </c>
      <c r="V192" s="13">
        <f t="shared" si="129"/>
        <v>1.2753543819101882</v>
      </c>
      <c r="W192" s="14">
        <f t="shared" si="130"/>
        <v>841.99048143554796</v>
      </c>
      <c r="X192" s="13">
        <f t="shared" si="131"/>
        <v>1.2990636508763</v>
      </c>
      <c r="Y192" s="14">
        <f t="shared" si="132"/>
        <v>853.99646238201058</v>
      </c>
      <c r="Z192" s="13">
        <f t="shared" si="133"/>
        <v>1.3284559828356506</v>
      </c>
      <c r="AA192" s="14">
        <f t="shared" si="134"/>
        <v>867.98487027854685</v>
      </c>
      <c r="AB192" s="13">
        <f t="shared" si="135"/>
        <v>1.2680664446230085</v>
      </c>
      <c r="AC192" s="14">
        <f t="shared" si="136"/>
        <v>856.6622688666572</v>
      </c>
      <c r="AD192" s="13">
        <f t="shared" si="137"/>
        <v>1.2911613819695913</v>
      </c>
      <c r="AE192" s="14">
        <f t="shared" si="138"/>
        <v>868.2174196394111</v>
      </c>
      <c r="AF192" s="13">
        <f t="shared" si="139"/>
        <v>1.3198200044488453</v>
      </c>
      <c r="AG192" s="14">
        <f t="shared" si="140"/>
        <v>881.93499705711292</v>
      </c>
      <c r="AI192" s="13">
        <f t="shared" si="141"/>
        <v>1.2784988382346325</v>
      </c>
      <c r="AJ192" s="14">
        <f t="shared" si="142"/>
        <v>828.46845721534669</v>
      </c>
      <c r="AK192" s="13">
        <f t="shared" si="143"/>
        <v>1.2784988382346325</v>
      </c>
      <c r="AL192" s="14">
        <f t="shared" si="144"/>
        <v>828.80035730253599</v>
      </c>
      <c r="AM192" s="13">
        <f t="shared" si="145"/>
        <v>1.2784988382346325</v>
      </c>
      <c r="AN192" s="14">
        <f t="shared" si="146"/>
        <v>828.80035730253599</v>
      </c>
    </row>
    <row r="193" spans="16:40" x14ac:dyDescent="0.25">
      <c r="P193" s="13">
        <f t="shared" si="124"/>
        <v>1.2778541360146003</v>
      </c>
      <c r="Q193" s="14">
        <f t="shared" si="125"/>
        <v>837.57507430162275</v>
      </c>
      <c r="R193" s="13">
        <f t="shared" si="126"/>
        <v>1.3175798244716865</v>
      </c>
      <c r="S193" s="14">
        <f t="shared" si="147"/>
        <v>856.72138385834182</v>
      </c>
      <c r="T193" s="13">
        <f t="shared" si="127"/>
        <v>1.3394374004511849</v>
      </c>
      <c r="U193" s="14">
        <f t="shared" si="128"/>
        <v>866.98926591013526</v>
      </c>
      <c r="V193" s="13">
        <f t="shared" si="129"/>
        <v>1.2753543819101882</v>
      </c>
      <c r="W193" s="14">
        <f t="shared" si="130"/>
        <v>841.99048143554796</v>
      </c>
      <c r="X193" s="13">
        <f t="shared" si="131"/>
        <v>1.2990636508763</v>
      </c>
      <c r="Y193" s="14">
        <f t="shared" si="132"/>
        <v>853.99646238201058</v>
      </c>
      <c r="Z193" s="13">
        <f t="shared" si="133"/>
        <v>1.3284559828356506</v>
      </c>
      <c r="AA193" s="14">
        <f t="shared" si="134"/>
        <v>867.98487027854685</v>
      </c>
      <c r="AB193" s="13">
        <f t="shared" si="135"/>
        <v>1.2680664446230085</v>
      </c>
      <c r="AC193" s="14">
        <f t="shared" si="136"/>
        <v>856.6622688666572</v>
      </c>
      <c r="AD193" s="13">
        <f t="shared" si="137"/>
        <v>1.2911613819695913</v>
      </c>
      <c r="AE193" s="14">
        <f t="shared" si="138"/>
        <v>868.2174196394111</v>
      </c>
      <c r="AF193" s="13">
        <f t="shared" si="139"/>
        <v>1.3198200044488453</v>
      </c>
      <c r="AG193" s="14">
        <f t="shared" si="140"/>
        <v>881.93499705711292</v>
      </c>
      <c r="AI193" s="13">
        <f t="shared" si="141"/>
        <v>1.2784988382346325</v>
      </c>
      <c r="AJ193" s="14">
        <f t="shared" si="142"/>
        <v>828.46845721534669</v>
      </c>
      <c r="AK193" s="13">
        <f t="shared" si="143"/>
        <v>1.2784988382346325</v>
      </c>
      <c r="AL193" s="14">
        <f t="shared" si="144"/>
        <v>828.80035730253599</v>
      </c>
      <c r="AM193" s="13">
        <f t="shared" si="145"/>
        <v>1.2784988382346325</v>
      </c>
      <c r="AN193" s="14">
        <f t="shared" si="146"/>
        <v>828.80035730253599</v>
      </c>
    </row>
    <row r="194" spans="16:40" x14ac:dyDescent="0.25">
      <c r="P194" s="13">
        <f t="shared" si="124"/>
        <v>1.2778541360146003</v>
      </c>
      <c r="Q194" s="14">
        <f t="shared" si="125"/>
        <v>837.57507430162275</v>
      </c>
      <c r="R194" s="13">
        <f t="shared" si="126"/>
        <v>1.3175798244716865</v>
      </c>
      <c r="S194" s="14">
        <f t="shared" si="147"/>
        <v>856.72138385834182</v>
      </c>
      <c r="T194" s="13">
        <f t="shared" si="127"/>
        <v>1.3394374004511849</v>
      </c>
      <c r="U194" s="14">
        <f t="shared" si="128"/>
        <v>866.98926591013526</v>
      </c>
      <c r="V194" s="13">
        <f t="shared" si="129"/>
        <v>1.2753543819101882</v>
      </c>
      <c r="W194" s="14">
        <f t="shared" si="130"/>
        <v>841.99048143554796</v>
      </c>
      <c r="X194" s="13">
        <f t="shared" si="131"/>
        <v>1.2990636508763</v>
      </c>
      <c r="Y194" s="14">
        <f t="shared" si="132"/>
        <v>853.99646238201058</v>
      </c>
      <c r="Z194" s="13">
        <f t="shared" si="133"/>
        <v>1.3284559828356506</v>
      </c>
      <c r="AA194" s="14">
        <f t="shared" si="134"/>
        <v>867.98487027854685</v>
      </c>
      <c r="AB194" s="13">
        <f t="shared" si="135"/>
        <v>1.2680664446230085</v>
      </c>
      <c r="AC194" s="14">
        <f t="shared" si="136"/>
        <v>856.6622688666572</v>
      </c>
      <c r="AD194" s="13">
        <f t="shared" si="137"/>
        <v>1.2911613819695913</v>
      </c>
      <c r="AE194" s="14">
        <f t="shared" si="138"/>
        <v>868.2174196394111</v>
      </c>
      <c r="AF194" s="13">
        <f t="shared" si="139"/>
        <v>1.3198200044488453</v>
      </c>
      <c r="AG194" s="14">
        <f t="shared" si="140"/>
        <v>881.93499705711292</v>
      </c>
      <c r="AI194" s="13">
        <f t="shared" si="141"/>
        <v>1.2784988382346325</v>
      </c>
      <c r="AJ194" s="14">
        <f t="shared" si="142"/>
        <v>828.46845721534669</v>
      </c>
      <c r="AK194" s="13">
        <f t="shared" si="143"/>
        <v>1.2784988382346325</v>
      </c>
      <c r="AL194" s="14">
        <f t="shared" si="144"/>
        <v>828.80035730253599</v>
      </c>
      <c r="AM194" s="13">
        <f t="shared" si="145"/>
        <v>1.2784988382346325</v>
      </c>
      <c r="AN194" s="14">
        <f t="shared" si="146"/>
        <v>828.80035730253599</v>
      </c>
    </row>
    <row r="195" spans="16:40" x14ac:dyDescent="0.25">
      <c r="P195" s="13">
        <f t="shared" si="124"/>
        <v>1.2778541360146003</v>
      </c>
      <c r="Q195" s="14">
        <f t="shared" si="125"/>
        <v>837.57507430162275</v>
      </c>
      <c r="R195" s="13">
        <f t="shared" si="126"/>
        <v>1.3175798244716865</v>
      </c>
      <c r="S195" s="14">
        <f t="shared" si="147"/>
        <v>856.72138385834182</v>
      </c>
      <c r="T195" s="13">
        <f t="shared" si="127"/>
        <v>1.3394374004511849</v>
      </c>
      <c r="U195" s="14">
        <f t="shared" si="128"/>
        <v>866.98926591013526</v>
      </c>
      <c r="V195" s="13">
        <f t="shared" si="129"/>
        <v>1.2753543819101882</v>
      </c>
      <c r="W195" s="14">
        <f t="shared" si="130"/>
        <v>841.99048143554796</v>
      </c>
      <c r="X195" s="13">
        <f t="shared" si="131"/>
        <v>1.2990636508763</v>
      </c>
      <c r="Y195" s="14">
        <f t="shared" si="132"/>
        <v>853.99646238201058</v>
      </c>
      <c r="Z195" s="13">
        <f t="shared" si="133"/>
        <v>1.3284559828356506</v>
      </c>
      <c r="AA195" s="14">
        <f t="shared" si="134"/>
        <v>867.98487027854685</v>
      </c>
      <c r="AB195" s="13">
        <f t="shared" si="135"/>
        <v>1.2680664446230085</v>
      </c>
      <c r="AC195" s="14">
        <f t="shared" si="136"/>
        <v>856.6622688666572</v>
      </c>
      <c r="AD195" s="13">
        <f t="shared" si="137"/>
        <v>1.2911613819695913</v>
      </c>
      <c r="AE195" s="14">
        <f t="shared" si="138"/>
        <v>868.2174196394111</v>
      </c>
      <c r="AF195" s="13">
        <f t="shared" si="139"/>
        <v>1.3198200044488453</v>
      </c>
      <c r="AG195" s="14">
        <f t="shared" si="140"/>
        <v>881.93499705711292</v>
      </c>
      <c r="AI195" s="13">
        <f t="shared" si="141"/>
        <v>1.2784988382346325</v>
      </c>
      <c r="AJ195" s="14">
        <f t="shared" si="142"/>
        <v>828.46845721534669</v>
      </c>
      <c r="AK195" s="13">
        <f t="shared" si="143"/>
        <v>1.2784988382346325</v>
      </c>
      <c r="AL195" s="14">
        <f t="shared" si="144"/>
        <v>828.80035730253599</v>
      </c>
      <c r="AM195" s="13">
        <f t="shared" si="145"/>
        <v>1.2784988382346325</v>
      </c>
      <c r="AN195" s="14">
        <f t="shared" si="146"/>
        <v>828.80035730253599</v>
      </c>
    </row>
    <row r="196" spans="16:40" x14ac:dyDescent="0.25">
      <c r="P196" s="13">
        <f t="shared" si="124"/>
        <v>1.2778541360146003</v>
      </c>
      <c r="Q196" s="14">
        <f t="shared" si="125"/>
        <v>837.57507430162275</v>
      </c>
      <c r="R196" s="13">
        <f t="shared" si="126"/>
        <v>1.3175798244716865</v>
      </c>
      <c r="S196" s="14">
        <f t="shared" si="147"/>
        <v>856.72138385834182</v>
      </c>
      <c r="T196" s="13">
        <f t="shared" si="127"/>
        <v>1.3394374004511849</v>
      </c>
      <c r="U196" s="14">
        <f t="shared" si="128"/>
        <v>866.98926591013526</v>
      </c>
      <c r="V196" s="13">
        <f t="shared" si="129"/>
        <v>1.2753543819101882</v>
      </c>
      <c r="W196" s="14">
        <f t="shared" si="130"/>
        <v>841.99048143554796</v>
      </c>
      <c r="X196" s="13">
        <f t="shared" si="131"/>
        <v>1.2990636508763</v>
      </c>
      <c r="Y196" s="14">
        <f t="shared" si="132"/>
        <v>853.99646238201058</v>
      </c>
      <c r="Z196" s="13">
        <f t="shared" si="133"/>
        <v>1.3284559828356506</v>
      </c>
      <c r="AA196" s="14">
        <f t="shared" si="134"/>
        <v>867.98487027854685</v>
      </c>
      <c r="AB196" s="13">
        <f t="shared" si="135"/>
        <v>1.2680664446230085</v>
      </c>
      <c r="AC196" s="14">
        <f t="shared" si="136"/>
        <v>856.6622688666572</v>
      </c>
      <c r="AD196" s="13">
        <f t="shared" si="137"/>
        <v>1.2911613819695913</v>
      </c>
      <c r="AE196" s="14">
        <f t="shared" si="138"/>
        <v>868.2174196394111</v>
      </c>
      <c r="AF196" s="13">
        <f t="shared" si="139"/>
        <v>1.3198200044488453</v>
      </c>
      <c r="AG196" s="14">
        <f t="shared" si="140"/>
        <v>881.93499705711292</v>
      </c>
      <c r="AI196" s="13">
        <f t="shared" si="141"/>
        <v>1.2784988382346325</v>
      </c>
      <c r="AJ196" s="14">
        <f t="shared" si="142"/>
        <v>828.46845721534669</v>
      </c>
      <c r="AK196" s="13">
        <f t="shared" si="143"/>
        <v>1.2784988382346325</v>
      </c>
      <c r="AL196" s="14">
        <f t="shared" si="144"/>
        <v>828.80035730253599</v>
      </c>
      <c r="AM196" s="13">
        <f t="shared" si="145"/>
        <v>1.2784988382346325</v>
      </c>
      <c r="AN196" s="14">
        <f t="shared" si="146"/>
        <v>828.80035730253599</v>
      </c>
    </row>
    <row r="197" spans="16:40" x14ac:dyDescent="0.25">
      <c r="P197" s="13">
        <f t="shared" si="124"/>
        <v>1.2778541360146003</v>
      </c>
      <c r="Q197" s="14">
        <f t="shared" si="125"/>
        <v>837.57507430162275</v>
      </c>
      <c r="R197" s="13">
        <f t="shared" si="126"/>
        <v>1.3175798244716865</v>
      </c>
      <c r="S197" s="14">
        <f t="shared" si="147"/>
        <v>856.72138385834182</v>
      </c>
      <c r="T197" s="13">
        <f t="shared" si="127"/>
        <v>1.3394374004511849</v>
      </c>
      <c r="U197" s="14">
        <f t="shared" si="128"/>
        <v>866.98926591013526</v>
      </c>
      <c r="V197" s="13">
        <f t="shared" si="129"/>
        <v>1.2753543819101882</v>
      </c>
      <c r="W197" s="14">
        <f t="shared" si="130"/>
        <v>841.99048143554796</v>
      </c>
      <c r="X197" s="13">
        <f t="shared" si="131"/>
        <v>1.2990636508763</v>
      </c>
      <c r="Y197" s="14">
        <f t="shared" si="132"/>
        <v>853.99646238201058</v>
      </c>
      <c r="Z197" s="13">
        <f t="shared" si="133"/>
        <v>1.3284559828356506</v>
      </c>
      <c r="AA197" s="14">
        <f t="shared" si="134"/>
        <v>867.98487027854685</v>
      </c>
      <c r="AB197" s="13">
        <f t="shared" si="135"/>
        <v>1.2680664446230085</v>
      </c>
      <c r="AC197" s="14">
        <f t="shared" si="136"/>
        <v>856.6622688666572</v>
      </c>
      <c r="AD197" s="13">
        <f t="shared" si="137"/>
        <v>1.2911613819695913</v>
      </c>
      <c r="AE197" s="14">
        <f t="shared" si="138"/>
        <v>868.2174196394111</v>
      </c>
      <c r="AF197" s="13">
        <f t="shared" si="139"/>
        <v>1.3198200044488453</v>
      </c>
      <c r="AG197" s="14">
        <f t="shared" si="140"/>
        <v>881.93499705711292</v>
      </c>
      <c r="AI197" s="13">
        <f t="shared" si="141"/>
        <v>1.2784988382346325</v>
      </c>
      <c r="AJ197" s="14">
        <f t="shared" si="142"/>
        <v>828.46845721534669</v>
      </c>
      <c r="AK197" s="13">
        <f t="shared" si="143"/>
        <v>1.2784988382346325</v>
      </c>
      <c r="AL197" s="14">
        <f t="shared" si="144"/>
        <v>828.80035730253599</v>
      </c>
      <c r="AM197" s="13">
        <f t="shared" si="145"/>
        <v>1.2784988382346325</v>
      </c>
      <c r="AN197" s="14">
        <f t="shared" si="146"/>
        <v>828.80035730253599</v>
      </c>
    </row>
    <row r="198" spans="16:40" x14ac:dyDescent="0.25">
      <c r="P198" s="13">
        <f t="shared" si="124"/>
        <v>1.2778541360146003</v>
      </c>
      <c r="Q198" s="14">
        <f t="shared" si="125"/>
        <v>837.57507430162275</v>
      </c>
      <c r="R198" s="13">
        <f t="shared" si="126"/>
        <v>1.3175798244716865</v>
      </c>
      <c r="S198" s="14">
        <f t="shared" si="147"/>
        <v>856.72138385834182</v>
      </c>
      <c r="T198" s="13">
        <f t="shared" si="127"/>
        <v>1.3394374004511849</v>
      </c>
      <c r="U198" s="14">
        <f t="shared" si="128"/>
        <v>866.98926591013526</v>
      </c>
      <c r="V198" s="13">
        <f t="shared" si="129"/>
        <v>1.2753543819101882</v>
      </c>
      <c r="W198" s="14">
        <f t="shared" si="130"/>
        <v>841.99048143554796</v>
      </c>
      <c r="X198" s="13">
        <f t="shared" si="131"/>
        <v>1.2990636508763</v>
      </c>
      <c r="Y198" s="14">
        <f t="shared" si="132"/>
        <v>853.99646238201058</v>
      </c>
      <c r="Z198" s="13">
        <f t="shared" si="133"/>
        <v>1.3284559828356506</v>
      </c>
      <c r="AA198" s="14">
        <f t="shared" si="134"/>
        <v>867.98487027854685</v>
      </c>
      <c r="AB198" s="13">
        <f t="shared" si="135"/>
        <v>1.2680664446230085</v>
      </c>
      <c r="AC198" s="14">
        <f t="shared" si="136"/>
        <v>856.6622688666572</v>
      </c>
      <c r="AD198" s="13">
        <f t="shared" si="137"/>
        <v>1.2911613819695913</v>
      </c>
      <c r="AE198" s="14">
        <f t="shared" si="138"/>
        <v>868.2174196394111</v>
      </c>
      <c r="AF198" s="13">
        <f t="shared" si="139"/>
        <v>1.3198200044488453</v>
      </c>
      <c r="AG198" s="14">
        <f t="shared" si="140"/>
        <v>881.93499705711292</v>
      </c>
      <c r="AI198" s="13">
        <f t="shared" si="141"/>
        <v>1.2784988382346325</v>
      </c>
      <c r="AJ198" s="14">
        <f t="shared" si="142"/>
        <v>828.46845721534669</v>
      </c>
      <c r="AK198" s="13">
        <f t="shared" si="143"/>
        <v>1.2784988382346325</v>
      </c>
      <c r="AL198" s="14">
        <f t="shared" si="144"/>
        <v>828.80035730253599</v>
      </c>
      <c r="AM198" s="13">
        <f t="shared" si="145"/>
        <v>1.2784988382346325</v>
      </c>
      <c r="AN198" s="14">
        <f t="shared" si="146"/>
        <v>828.80035730253599</v>
      </c>
    </row>
    <row r="199" spans="16:40" x14ac:dyDescent="0.25">
      <c r="P199" s="13">
        <f t="shared" si="124"/>
        <v>1.2778541360146003</v>
      </c>
      <c r="Q199" s="14">
        <f t="shared" si="125"/>
        <v>837.57507430162275</v>
      </c>
      <c r="R199" s="13">
        <f t="shared" si="126"/>
        <v>1.3175798244716865</v>
      </c>
      <c r="S199" s="14">
        <f t="shared" si="147"/>
        <v>856.72138385834182</v>
      </c>
      <c r="T199" s="13">
        <f t="shared" si="127"/>
        <v>1.3394374004511849</v>
      </c>
      <c r="U199" s="14">
        <f t="shared" si="128"/>
        <v>866.98926591013526</v>
      </c>
      <c r="V199" s="13">
        <f t="shared" si="129"/>
        <v>1.2753543819101882</v>
      </c>
      <c r="W199" s="14">
        <f t="shared" si="130"/>
        <v>841.99048143554796</v>
      </c>
      <c r="X199" s="13">
        <f t="shared" si="131"/>
        <v>1.2990636508763</v>
      </c>
      <c r="Y199" s="14">
        <f t="shared" si="132"/>
        <v>853.99646238201058</v>
      </c>
      <c r="Z199" s="13">
        <f t="shared" si="133"/>
        <v>1.3284559828356506</v>
      </c>
      <c r="AA199" s="14">
        <f t="shared" si="134"/>
        <v>867.98487027854685</v>
      </c>
      <c r="AB199" s="13">
        <f t="shared" si="135"/>
        <v>1.2680664446230085</v>
      </c>
      <c r="AC199" s="14">
        <f t="shared" si="136"/>
        <v>856.6622688666572</v>
      </c>
      <c r="AD199" s="13">
        <f t="shared" si="137"/>
        <v>1.2911613819695913</v>
      </c>
      <c r="AE199" s="14">
        <f t="shared" si="138"/>
        <v>868.2174196394111</v>
      </c>
      <c r="AF199" s="13">
        <f t="shared" si="139"/>
        <v>1.3198200044488453</v>
      </c>
      <c r="AG199" s="14">
        <f t="shared" si="140"/>
        <v>881.93499705711292</v>
      </c>
      <c r="AI199" s="13">
        <f t="shared" si="141"/>
        <v>1.2784988382346325</v>
      </c>
      <c r="AJ199" s="14">
        <f t="shared" si="142"/>
        <v>828.46845721534669</v>
      </c>
      <c r="AK199" s="13">
        <f t="shared" si="143"/>
        <v>1.2784988382346325</v>
      </c>
      <c r="AL199" s="14">
        <f t="shared" si="144"/>
        <v>828.80035730253599</v>
      </c>
      <c r="AM199" s="13">
        <f t="shared" si="145"/>
        <v>1.2784988382346325</v>
      </c>
      <c r="AN199" s="14">
        <f t="shared" si="146"/>
        <v>828.80035730253599</v>
      </c>
    </row>
    <row r="200" spans="16:40" x14ac:dyDescent="0.25">
      <c r="P200" s="13">
        <f t="shared" si="124"/>
        <v>1.2778541360146003</v>
      </c>
      <c r="Q200" s="14">
        <f t="shared" si="125"/>
        <v>837.57507430162275</v>
      </c>
      <c r="R200" s="13">
        <f t="shared" si="126"/>
        <v>1.3175798244716865</v>
      </c>
      <c r="S200" s="14">
        <f t="shared" si="147"/>
        <v>856.72138385834182</v>
      </c>
      <c r="T200" s="13">
        <f t="shared" si="127"/>
        <v>1.3394374004511849</v>
      </c>
      <c r="U200" s="14">
        <f t="shared" si="128"/>
        <v>866.98926591013526</v>
      </c>
      <c r="V200" s="13">
        <f t="shared" si="129"/>
        <v>1.2753543819101882</v>
      </c>
      <c r="W200" s="14">
        <f t="shared" si="130"/>
        <v>841.99048143554796</v>
      </c>
      <c r="X200" s="13">
        <f t="shared" si="131"/>
        <v>1.2990636508763</v>
      </c>
      <c r="Y200" s="14">
        <f t="shared" si="132"/>
        <v>853.99646238201058</v>
      </c>
      <c r="Z200" s="13">
        <f t="shared" si="133"/>
        <v>1.3284559828356506</v>
      </c>
      <c r="AA200" s="14">
        <f t="shared" si="134"/>
        <v>867.98487027854685</v>
      </c>
      <c r="AB200" s="13">
        <f t="shared" si="135"/>
        <v>1.2680664446230085</v>
      </c>
      <c r="AC200" s="14">
        <f t="shared" si="136"/>
        <v>856.6622688666572</v>
      </c>
      <c r="AD200" s="13">
        <f t="shared" si="137"/>
        <v>1.2911613819695913</v>
      </c>
      <c r="AE200" s="14">
        <f t="shared" si="138"/>
        <v>868.2174196394111</v>
      </c>
      <c r="AF200" s="13">
        <f t="shared" si="139"/>
        <v>1.3198200044488453</v>
      </c>
      <c r="AG200" s="14">
        <f t="shared" si="140"/>
        <v>881.93499705711292</v>
      </c>
      <c r="AI200" s="13">
        <f t="shared" si="141"/>
        <v>1.2784988382346325</v>
      </c>
      <c r="AJ200" s="14">
        <f t="shared" si="142"/>
        <v>828.46845721534669</v>
      </c>
      <c r="AK200" s="13">
        <f t="shared" si="143"/>
        <v>1.2784988382346325</v>
      </c>
      <c r="AL200" s="14">
        <f t="shared" si="144"/>
        <v>828.80035730253599</v>
      </c>
      <c r="AM200" s="13">
        <f t="shared" si="145"/>
        <v>1.2784988382346325</v>
      </c>
      <c r="AN200" s="14">
        <f t="shared" si="146"/>
        <v>828.80035730253599</v>
      </c>
    </row>
    <row r="201" spans="16:40" x14ac:dyDescent="0.25">
      <c r="P201" s="13">
        <f t="shared" si="124"/>
        <v>1.2778541360146003</v>
      </c>
      <c r="Q201" s="14">
        <f t="shared" si="125"/>
        <v>837.57507430162275</v>
      </c>
      <c r="R201" s="13">
        <f t="shared" si="126"/>
        <v>1.3175798244716865</v>
      </c>
      <c r="S201" s="14">
        <f t="shared" si="147"/>
        <v>856.72138385834182</v>
      </c>
      <c r="T201" s="13">
        <f t="shared" si="127"/>
        <v>1.3394374004511849</v>
      </c>
      <c r="U201" s="14">
        <f t="shared" si="128"/>
        <v>866.98926591013526</v>
      </c>
      <c r="V201" s="13">
        <f t="shared" si="129"/>
        <v>1.2753543819101882</v>
      </c>
      <c r="W201" s="14">
        <f t="shared" si="130"/>
        <v>841.99048143554796</v>
      </c>
      <c r="X201" s="13">
        <f t="shared" si="131"/>
        <v>1.2990636508763</v>
      </c>
      <c r="Y201" s="14">
        <f t="shared" si="132"/>
        <v>853.99646238201058</v>
      </c>
      <c r="Z201" s="13">
        <f t="shared" si="133"/>
        <v>1.3284559828356506</v>
      </c>
      <c r="AA201" s="14">
        <f t="shared" si="134"/>
        <v>867.98487027854685</v>
      </c>
      <c r="AB201" s="13">
        <f t="shared" si="135"/>
        <v>1.2680664446230085</v>
      </c>
      <c r="AC201" s="14">
        <f t="shared" si="136"/>
        <v>856.6622688666572</v>
      </c>
      <c r="AD201" s="13">
        <f t="shared" si="137"/>
        <v>1.2911613819695913</v>
      </c>
      <c r="AE201" s="14">
        <f t="shared" si="138"/>
        <v>868.2174196394111</v>
      </c>
      <c r="AF201" s="13">
        <f t="shared" si="139"/>
        <v>1.3198200044488453</v>
      </c>
      <c r="AG201" s="14">
        <f t="shared" si="140"/>
        <v>881.93499705711292</v>
      </c>
      <c r="AI201" s="13">
        <f t="shared" si="141"/>
        <v>1.2784988382346325</v>
      </c>
      <c r="AJ201" s="14">
        <f t="shared" si="142"/>
        <v>828.46845721534669</v>
      </c>
      <c r="AK201" s="13">
        <f t="shared" si="143"/>
        <v>1.2784988382346325</v>
      </c>
      <c r="AL201" s="14">
        <f t="shared" si="144"/>
        <v>828.80035730253599</v>
      </c>
      <c r="AM201" s="13">
        <f t="shared" si="145"/>
        <v>1.2784988382346325</v>
      </c>
      <c r="AN201" s="14">
        <f t="shared" si="146"/>
        <v>828.80035730253599</v>
      </c>
    </row>
    <row r="202" spans="16:40" x14ac:dyDescent="0.25">
      <c r="P202" s="13">
        <f t="shared" si="124"/>
        <v>1.2778541360146003</v>
      </c>
      <c r="Q202" s="14">
        <f t="shared" si="125"/>
        <v>837.57507430162275</v>
      </c>
      <c r="R202" s="13">
        <f t="shared" si="126"/>
        <v>1.3175798244716865</v>
      </c>
      <c r="S202" s="14">
        <f t="shared" si="147"/>
        <v>856.72138385834182</v>
      </c>
      <c r="T202" s="13">
        <f t="shared" si="127"/>
        <v>1.3394374004511849</v>
      </c>
      <c r="U202" s="14">
        <f t="shared" si="128"/>
        <v>866.98926591013526</v>
      </c>
      <c r="V202" s="13">
        <f t="shared" si="129"/>
        <v>1.2753543819101882</v>
      </c>
      <c r="W202" s="14">
        <f t="shared" si="130"/>
        <v>841.99048143554796</v>
      </c>
      <c r="X202" s="13">
        <f t="shared" si="131"/>
        <v>1.2990636508763</v>
      </c>
      <c r="Y202" s="14">
        <f t="shared" si="132"/>
        <v>853.99646238201058</v>
      </c>
      <c r="Z202" s="13">
        <f t="shared" si="133"/>
        <v>1.3284559828356506</v>
      </c>
      <c r="AA202" s="14">
        <f t="shared" si="134"/>
        <v>867.98487027854685</v>
      </c>
      <c r="AB202" s="13">
        <f t="shared" si="135"/>
        <v>1.2680664446230085</v>
      </c>
      <c r="AC202" s="14">
        <f t="shared" si="136"/>
        <v>856.6622688666572</v>
      </c>
      <c r="AD202" s="13">
        <f t="shared" si="137"/>
        <v>1.2911613819695913</v>
      </c>
      <c r="AE202" s="14">
        <f t="shared" si="138"/>
        <v>868.2174196394111</v>
      </c>
      <c r="AF202" s="13">
        <f t="shared" si="139"/>
        <v>1.3198200044488453</v>
      </c>
      <c r="AG202" s="14">
        <f t="shared" si="140"/>
        <v>881.93499705711292</v>
      </c>
      <c r="AI202" s="13">
        <f t="shared" si="141"/>
        <v>1.2784988382346325</v>
      </c>
      <c r="AJ202" s="14">
        <f t="shared" si="142"/>
        <v>828.46845721534669</v>
      </c>
      <c r="AK202" s="13">
        <f t="shared" si="143"/>
        <v>1.2784988382346325</v>
      </c>
      <c r="AL202" s="14">
        <f t="shared" si="144"/>
        <v>828.80035730253599</v>
      </c>
      <c r="AM202" s="13">
        <f t="shared" si="145"/>
        <v>1.2784988382346325</v>
      </c>
      <c r="AN202" s="14">
        <f t="shared" si="146"/>
        <v>828.80035730253599</v>
      </c>
    </row>
    <row r="203" spans="16:40" x14ac:dyDescent="0.25">
      <c r="P203" s="13">
        <f t="shared" si="124"/>
        <v>1.2778541360146003</v>
      </c>
      <c r="Q203" s="14">
        <f t="shared" si="125"/>
        <v>837.57507430162275</v>
      </c>
      <c r="R203" s="13">
        <f t="shared" si="126"/>
        <v>1.3175798244716865</v>
      </c>
      <c r="S203" s="14">
        <f t="shared" si="147"/>
        <v>856.72138385834182</v>
      </c>
      <c r="T203" s="13">
        <f t="shared" si="127"/>
        <v>1.3394374004511849</v>
      </c>
      <c r="U203" s="14">
        <f t="shared" si="128"/>
        <v>866.98926591013526</v>
      </c>
      <c r="V203" s="13">
        <f t="shared" si="129"/>
        <v>1.2753543819101882</v>
      </c>
      <c r="W203" s="14">
        <f t="shared" si="130"/>
        <v>841.99048143554796</v>
      </c>
      <c r="X203" s="13">
        <f t="shared" si="131"/>
        <v>1.2990636508763</v>
      </c>
      <c r="Y203" s="14">
        <f t="shared" si="132"/>
        <v>853.99646238201058</v>
      </c>
      <c r="Z203" s="13">
        <f t="shared" si="133"/>
        <v>1.3284559828356506</v>
      </c>
      <c r="AA203" s="14">
        <f t="shared" si="134"/>
        <v>867.98487027854685</v>
      </c>
      <c r="AB203" s="13">
        <f t="shared" si="135"/>
        <v>1.2680664446230085</v>
      </c>
      <c r="AC203" s="14">
        <f t="shared" si="136"/>
        <v>856.6622688666572</v>
      </c>
      <c r="AD203" s="13">
        <f t="shared" si="137"/>
        <v>1.2911613819695913</v>
      </c>
      <c r="AE203" s="14">
        <f t="shared" si="138"/>
        <v>868.2174196394111</v>
      </c>
      <c r="AF203" s="13">
        <f t="shared" si="139"/>
        <v>1.3198200044488453</v>
      </c>
      <c r="AG203" s="14">
        <f t="shared" si="140"/>
        <v>881.93499705711292</v>
      </c>
      <c r="AI203" s="13">
        <f t="shared" si="141"/>
        <v>1.2784988382346325</v>
      </c>
      <c r="AJ203" s="14">
        <f t="shared" si="142"/>
        <v>828.46845721534669</v>
      </c>
      <c r="AK203" s="13">
        <f t="shared" si="143"/>
        <v>1.2784988382346325</v>
      </c>
      <c r="AL203" s="14">
        <f t="shared" si="144"/>
        <v>828.80035730253599</v>
      </c>
      <c r="AM203" s="13">
        <f t="shared" si="145"/>
        <v>1.2784988382346325</v>
      </c>
      <c r="AN203" s="14">
        <f t="shared" si="146"/>
        <v>828.80035730253599</v>
      </c>
    </row>
    <row r="204" spans="16:40" x14ac:dyDescent="0.25">
      <c r="P204" s="13">
        <f t="shared" si="124"/>
        <v>1.2778541360146003</v>
      </c>
      <c r="Q204" s="14">
        <f t="shared" si="125"/>
        <v>837.57507430162275</v>
      </c>
      <c r="R204" s="13">
        <f t="shared" si="126"/>
        <v>1.3175798244716865</v>
      </c>
      <c r="S204" s="14">
        <f t="shared" si="147"/>
        <v>856.72138385834182</v>
      </c>
      <c r="T204" s="13">
        <f t="shared" si="127"/>
        <v>1.3394374004511849</v>
      </c>
      <c r="U204" s="14">
        <f t="shared" si="128"/>
        <v>866.98926591013526</v>
      </c>
      <c r="V204" s="13">
        <f t="shared" si="129"/>
        <v>1.2753543819101882</v>
      </c>
      <c r="W204" s="14">
        <f t="shared" si="130"/>
        <v>841.99048143554796</v>
      </c>
      <c r="X204" s="13">
        <f t="shared" si="131"/>
        <v>1.2990636508763</v>
      </c>
      <c r="Y204" s="14">
        <f t="shared" si="132"/>
        <v>853.99646238201058</v>
      </c>
      <c r="Z204" s="13">
        <f t="shared" si="133"/>
        <v>1.3284559828356506</v>
      </c>
      <c r="AA204" s="14">
        <f t="shared" si="134"/>
        <v>867.98487027854685</v>
      </c>
      <c r="AB204" s="13">
        <f t="shared" si="135"/>
        <v>1.2680664446230085</v>
      </c>
      <c r="AC204" s="14">
        <f t="shared" si="136"/>
        <v>856.6622688666572</v>
      </c>
      <c r="AD204" s="13">
        <f t="shared" si="137"/>
        <v>1.2911613819695913</v>
      </c>
      <c r="AE204" s="14">
        <f t="shared" si="138"/>
        <v>868.2174196394111</v>
      </c>
      <c r="AF204" s="13">
        <f t="shared" si="139"/>
        <v>1.3198200044488453</v>
      </c>
      <c r="AG204" s="14">
        <f t="shared" si="140"/>
        <v>881.93499705711292</v>
      </c>
      <c r="AI204" s="13">
        <f t="shared" si="141"/>
        <v>1.2784988382346325</v>
      </c>
      <c r="AJ204" s="14">
        <f t="shared" si="142"/>
        <v>828.46845721534669</v>
      </c>
      <c r="AK204" s="13">
        <f t="shared" si="143"/>
        <v>1.2784988382346325</v>
      </c>
      <c r="AL204" s="14">
        <f t="shared" si="144"/>
        <v>828.80035730253599</v>
      </c>
      <c r="AM204" s="13">
        <f t="shared" si="145"/>
        <v>1.2784988382346325</v>
      </c>
      <c r="AN204" s="14">
        <f t="shared" si="146"/>
        <v>828.80035730253599</v>
      </c>
    </row>
    <row r="205" spans="16:40" x14ac:dyDescent="0.25">
      <c r="P205" s="13">
        <f t="shared" si="124"/>
        <v>1.2778541360146003</v>
      </c>
      <c r="Q205" s="14">
        <f t="shared" si="125"/>
        <v>837.57507430162275</v>
      </c>
      <c r="R205" s="13">
        <f t="shared" si="126"/>
        <v>1.3175798244716865</v>
      </c>
      <c r="S205" s="14">
        <f t="shared" si="147"/>
        <v>856.72138385834182</v>
      </c>
      <c r="T205" s="13">
        <f t="shared" si="127"/>
        <v>1.3394374004511849</v>
      </c>
      <c r="U205" s="14">
        <f t="shared" si="128"/>
        <v>866.98926591013526</v>
      </c>
      <c r="V205" s="13">
        <f t="shared" si="129"/>
        <v>1.2753543819101882</v>
      </c>
      <c r="W205" s="14">
        <f t="shared" si="130"/>
        <v>841.99048143554796</v>
      </c>
      <c r="X205" s="13">
        <f t="shared" si="131"/>
        <v>1.2990636508763</v>
      </c>
      <c r="Y205" s="14">
        <f t="shared" si="132"/>
        <v>853.99646238201058</v>
      </c>
      <c r="Z205" s="13">
        <f t="shared" si="133"/>
        <v>1.3284559828356506</v>
      </c>
      <c r="AA205" s="14">
        <f t="shared" si="134"/>
        <v>867.98487027854685</v>
      </c>
      <c r="AB205" s="13">
        <f t="shared" si="135"/>
        <v>1.2680664446230085</v>
      </c>
      <c r="AC205" s="14">
        <f t="shared" si="136"/>
        <v>856.6622688666572</v>
      </c>
      <c r="AD205" s="13">
        <f t="shared" si="137"/>
        <v>1.2911613819695913</v>
      </c>
      <c r="AE205" s="14">
        <f t="shared" si="138"/>
        <v>868.2174196394111</v>
      </c>
      <c r="AF205" s="13">
        <f t="shared" si="139"/>
        <v>1.3198200044488453</v>
      </c>
      <c r="AG205" s="14">
        <f t="shared" si="140"/>
        <v>881.93499705711292</v>
      </c>
      <c r="AI205" s="13">
        <f t="shared" si="141"/>
        <v>1.2784988382346325</v>
      </c>
      <c r="AJ205" s="14">
        <f t="shared" si="142"/>
        <v>828.46845721534669</v>
      </c>
      <c r="AK205" s="13">
        <f t="shared" si="143"/>
        <v>1.2784988382346325</v>
      </c>
      <c r="AL205" s="14">
        <f t="shared" si="144"/>
        <v>828.80035730253599</v>
      </c>
      <c r="AM205" s="13">
        <f t="shared" si="145"/>
        <v>1.2784988382346325</v>
      </c>
      <c r="AN205" s="14">
        <f t="shared" si="146"/>
        <v>828.80035730253599</v>
      </c>
    </row>
    <row r="206" spans="16:40" x14ac:dyDescent="0.25">
      <c r="P206" s="13">
        <f t="shared" si="124"/>
        <v>1.2778541360146003</v>
      </c>
      <c r="Q206" s="14">
        <f t="shared" si="125"/>
        <v>837.57507430162275</v>
      </c>
      <c r="R206" s="13">
        <f t="shared" si="126"/>
        <v>1.3175798244716865</v>
      </c>
      <c r="S206" s="14">
        <f t="shared" si="147"/>
        <v>856.72138385834182</v>
      </c>
      <c r="T206" s="13">
        <f t="shared" si="127"/>
        <v>1.3394374004511849</v>
      </c>
      <c r="U206" s="14">
        <f t="shared" si="128"/>
        <v>866.98926591013526</v>
      </c>
      <c r="V206" s="13">
        <f t="shared" si="129"/>
        <v>1.2753543819101882</v>
      </c>
      <c r="W206" s="14">
        <f t="shared" si="130"/>
        <v>841.99048143554796</v>
      </c>
      <c r="X206" s="13">
        <f t="shared" si="131"/>
        <v>1.2990636508763</v>
      </c>
      <c r="Y206" s="14">
        <f t="shared" si="132"/>
        <v>853.99646238201058</v>
      </c>
      <c r="Z206" s="13">
        <f t="shared" si="133"/>
        <v>1.3284559828356506</v>
      </c>
      <c r="AA206" s="14">
        <f t="shared" si="134"/>
        <v>867.98487027854685</v>
      </c>
      <c r="AB206" s="13">
        <f t="shared" si="135"/>
        <v>1.2680664446230085</v>
      </c>
      <c r="AC206" s="14">
        <f t="shared" si="136"/>
        <v>856.6622688666572</v>
      </c>
      <c r="AD206" s="13">
        <f t="shared" si="137"/>
        <v>1.2911613819695913</v>
      </c>
      <c r="AE206" s="14">
        <f t="shared" si="138"/>
        <v>868.2174196394111</v>
      </c>
      <c r="AF206" s="13">
        <f t="shared" si="139"/>
        <v>1.3198200044488453</v>
      </c>
      <c r="AG206" s="14">
        <f t="shared" si="140"/>
        <v>881.93499705711292</v>
      </c>
      <c r="AI206" s="13">
        <f t="shared" si="141"/>
        <v>1.2784988382346325</v>
      </c>
      <c r="AJ206" s="14">
        <f t="shared" si="142"/>
        <v>828.46845721534669</v>
      </c>
      <c r="AK206" s="13">
        <f t="shared" si="143"/>
        <v>1.2784988382346325</v>
      </c>
      <c r="AL206" s="14">
        <f t="shared" si="144"/>
        <v>828.80035730253599</v>
      </c>
      <c r="AM206" s="13">
        <f t="shared" si="145"/>
        <v>1.2784988382346325</v>
      </c>
      <c r="AN206" s="14">
        <f t="shared" si="146"/>
        <v>828.80035730253599</v>
      </c>
    </row>
    <row r="207" spans="16:40" x14ac:dyDescent="0.25">
      <c r="P207" s="13">
        <f t="shared" si="124"/>
        <v>1.2778541360146003</v>
      </c>
      <c r="Q207" s="14">
        <f t="shared" si="125"/>
        <v>837.57507430162275</v>
      </c>
      <c r="R207" s="13">
        <f t="shared" si="126"/>
        <v>1.3175798244716865</v>
      </c>
      <c r="S207" s="14">
        <f t="shared" si="147"/>
        <v>856.72138385834182</v>
      </c>
      <c r="T207" s="13">
        <f t="shared" si="127"/>
        <v>1.3394374004511849</v>
      </c>
      <c r="U207" s="14">
        <f t="shared" si="128"/>
        <v>866.98926591013526</v>
      </c>
      <c r="V207" s="13">
        <f t="shared" si="129"/>
        <v>1.2753543819101882</v>
      </c>
      <c r="W207" s="14">
        <f t="shared" si="130"/>
        <v>841.99048143554796</v>
      </c>
      <c r="X207" s="13">
        <f t="shared" si="131"/>
        <v>1.2990636508763</v>
      </c>
      <c r="Y207" s="14">
        <f t="shared" si="132"/>
        <v>853.99646238201058</v>
      </c>
      <c r="Z207" s="13">
        <f t="shared" si="133"/>
        <v>1.3284559828356506</v>
      </c>
      <c r="AA207" s="14">
        <f t="shared" si="134"/>
        <v>867.98487027854685</v>
      </c>
      <c r="AB207" s="13">
        <f t="shared" si="135"/>
        <v>1.2680664446230085</v>
      </c>
      <c r="AC207" s="14">
        <f t="shared" si="136"/>
        <v>856.6622688666572</v>
      </c>
      <c r="AD207" s="13">
        <f t="shared" si="137"/>
        <v>1.2911613819695913</v>
      </c>
      <c r="AE207" s="14">
        <f t="shared" si="138"/>
        <v>868.2174196394111</v>
      </c>
      <c r="AF207" s="13">
        <f t="shared" si="139"/>
        <v>1.3198200044488453</v>
      </c>
      <c r="AG207" s="14">
        <f t="shared" si="140"/>
        <v>881.93499705711292</v>
      </c>
      <c r="AI207" s="13">
        <f t="shared" si="141"/>
        <v>1.2784988382346325</v>
      </c>
      <c r="AJ207" s="14">
        <f t="shared" si="142"/>
        <v>828.46845721534669</v>
      </c>
      <c r="AK207" s="13">
        <f t="shared" si="143"/>
        <v>1.2784988382346325</v>
      </c>
      <c r="AL207" s="14">
        <f t="shared" si="144"/>
        <v>828.80035730253599</v>
      </c>
      <c r="AM207" s="13">
        <f t="shared" si="145"/>
        <v>1.2784988382346325</v>
      </c>
      <c r="AN207" s="14">
        <f t="shared" si="146"/>
        <v>828.80035730253599</v>
      </c>
    </row>
    <row r="208" spans="16:40" x14ac:dyDescent="0.25">
      <c r="P208" s="13">
        <f t="shared" si="124"/>
        <v>1.2778541360146003</v>
      </c>
      <c r="Q208" s="14">
        <f t="shared" si="125"/>
        <v>837.57507430162275</v>
      </c>
      <c r="R208" s="13">
        <f t="shared" si="126"/>
        <v>1.3175798244716865</v>
      </c>
      <c r="S208" s="14">
        <f t="shared" si="147"/>
        <v>856.72138385834182</v>
      </c>
      <c r="T208" s="13">
        <f t="shared" si="127"/>
        <v>1.3394374004511849</v>
      </c>
      <c r="U208" s="14">
        <f t="shared" si="128"/>
        <v>866.98926591013526</v>
      </c>
      <c r="V208" s="13">
        <f t="shared" si="129"/>
        <v>1.2753543819101882</v>
      </c>
      <c r="W208" s="14">
        <f t="shared" si="130"/>
        <v>841.99048143554796</v>
      </c>
      <c r="X208" s="13">
        <f t="shared" si="131"/>
        <v>1.2990636508763</v>
      </c>
      <c r="Y208" s="14">
        <f t="shared" si="132"/>
        <v>853.99646238201058</v>
      </c>
      <c r="Z208" s="13">
        <f t="shared" si="133"/>
        <v>1.3284559828356506</v>
      </c>
      <c r="AA208" s="14">
        <f t="shared" si="134"/>
        <v>867.98487027854685</v>
      </c>
      <c r="AB208" s="13">
        <f t="shared" si="135"/>
        <v>1.2680664446230085</v>
      </c>
      <c r="AC208" s="14">
        <f t="shared" si="136"/>
        <v>856.6622688666572</v>
      </c>
      <c r="AD208" s="13">
        <f t="shared" si="137"/>
        <v>1.2911613819695913</v>
      </c>
      <c r="AE208" s="14">
        <f t="shared" si="138"/>
        <v>868.2174196394111</v>
      </c>
      <c r="AF208" s="13">
        <f t="shared" si="139"/>
        <v>1.3198200044488453</v>
      </c>
      <c r="AG208" s="14">
        <f t="shared" si="140"/>
        <v>881.93499705711292</v>
      </c>
      <c r="AI208" s="13">
        <f t="shared" si="141"/>
        <v>1.2784988382346325</v>
      </c>
      <c r="AJ208" s="14">
        <f t="shared" si="142"/>
        <v>828.46845721534669</v>
      </c>
      <c r="AK208" s="13">
        <f t="shared" si="143"/>
        <v>1.2784988382346325</v>
      </c>
      <c r="AL208" s="14">
        <f t="shared" si="144"/>
        <v>828.80035730253599</v>
      </c>
      <c r="AM208" s="13">
        <f t="shared" si="145"/>
        <v>1.2784988382346325</v>
      </c>
      <c r="AN208" s="14">
        <f t="shared" si="146"/>
        <v>828.80035730253599</v>
      </c>
    </row>
    <row r="209" spans="16:40" x14ac:dyDescent="0.25">
      <c r="P209" s="13">
        <f t="shared" si="124"/>
        <v>1.2778541360146003</v>
      </c>
      <c r="Q209" s="14">
        <f t="shared" si="125"/>
        <v>837.57507430162275</v>
      </c>
      <c r="R209" s="13">
        <f t="shared" si="126"/>
        <v>1.3175798244716865</v>
      </c>
      <c r="S209" s="14">
        <f t="shared" si="147"/>
        <v>856.72138385834182</v>
      </c>
      <c r="T209" s="13">
        <f t="shared" si="127"/>
        <v>1.3394374004511849</v>
      </c>
      <c r="U209" s="14">
        <f t="shared" si="128"/>
        <v>866.98926591013526</v>
      </c>
      <c r="V209" s="13">
        <f t="shared" si="129"/>
        <v>1.2753543819101882</v>
      </c>
      <c r="W209" s="14">
        <f t="shared" si="130"/>
        <v>841.99048143554796</v>
      </c>
      <c r="X209" s="13">
        <f t="shared" si="131"/>
        <v>1.2990636508763</v>
      </c>
      <c r="Y209" s="14">
        <f t="shared" si="132"/>
        <v>853.99646238201058</v>
      </c>
      <c r="Z209" s="13">
        <f t="shared" si="133"/>
        <v>1.3284559828356506</v>
      </c>
      <c r="AA209" s="14">
        <f t="shared" si="134"/>
        <v>867.98487027854685</v>
      </c>
      <c r="AB209" s="13">
        <f t="shared" si="135"/>
        <v>1.2680664446230085</v>
      </c>
      <c r="AC209" s="14">
        <f t="shared" si="136"/>
        <v>856.6622688666572</v>
      </c>
      <c r="AD209" s="13">
        <f t="shared" si="137"/>
        <v>1.2911613819695913</v>
      </c>
      <c r="AE209" s="14">
        <f t="shared" si="138"/>
        <v>868.2174196394111</v>
      </c>
      <c r="AF209" s="13">
        <f t="shared" si="139"/>
        <v>1.3198200044488453</v>
      </c>
      <c r="AG209" s="14">
        <f t="shared" si="140"/>
        <v>881.93499705711292</v>
      </c>
      <c r="AI209" s="13">
        <f t="shared" si="141"/>
        <v>1.2784988382346325</v>
      </c>
      <c r="AJ209" s="14">
        <f t="shared" si="142"/>
        <v>828.46845721534669</v>
      </c>
      <c r="AK209" s="13">
        <f t="shared" si="143"/>
        <v>1.2784988382346325</v>
      </c>
      <c r="AL209" s="14">
        <f t="shared" si="144"/>
        <v>828.80035730253599</v>
      </c>
      <c r="AM209" s="13">
        <f t="shared" si="145"/>
        <v>1.2784988382346325</v>
      </c>
      <c r="AN209" s="14">
        <f t="shared" si="146"/>
        <v>828.80035730253599</v>
      </c>
    </row>
    <row r="210" spans="16:40" x14ac:dyDescent="0.25">
      <c r="P210" s="13">
        <f t="shared" si="124"/>
        <v>1.2778541360146003</v>
      </c>
      <c r="Q210" s="14">
        <f t="shared" si="125"/>
        <v>837.57507430162275</v>
      </c>
      <c r="R210" s="13">
        <f t="shared" si="126"/>
        <v>1.3175798244716865</v>
      </c>
      <c r="S210" s="14">
        <f t="shared" si="147"/>
        <v>856.72138385834182</v>
      </c>
      <c r="T210" s="13">
        <f t="shared" si="127"/>
        <v>1.3394374004511849</v>
      </c>
      <c r="U210" s="14">
        <f t="shared" si="128"/>
        <v>866.98926591013526</v>
      </c>
      <c r="V210" s="13">
        <f t="shared" si="129"/>
        <v>1.2753543819101882</v>
      </c>
      <c r="W210" s="14">
        <f t="shared" si="130"/>
        <v>841.99048143554796</v>
      </c>
      <c r="X210" s="13">
        <f t="shared" si="131"/>
        <v>1.2990636508763</v>
      </c>
      <c r="Y210" s="14">
        <f t="shared" si="132"/>
        <v>853.99646238201058</v>
      </c>
      <c r="Z210" s="13">
        <f t="shared" si="133"/>
        <v>1.3284559828356506</v>
      </c>
      <c r="AA210" s="14">
        <f t="shared" si="134"/>
        <v>867.98487027854685</v>
      </c>
      <c r="AB210" s="13">
        <f t="shared" si="135"/>
        <v>1.2680664446230085</v>
      </c>
      <c r="AC210" s="14">
        <f t="shared" si="136"/>
        <v>856.6622688666572</v>
      </c>
      <c r="AD210" s="13">
        <f t="shared" si="137"/>
        <v>1.2911613819695913</v>
      </c>
      <c r="AE210" s="14">
        <f t="shared" si="138"/>
        <v>868.2174196394111</v>
      </c>
      <c r="AF210" s="13">
        <f t="shared" si="139"/>
        <v>1.3198200044488453</v>
      </c>
      <c r="AG210" s="14">
        <f t="shared" si="140"/>
        <v>881.93499705711292</v>
      </c>
      <c r="AI210" s="13">
        <f t="shared" si="141"/>
        <v>1.2784988382346325</v>
      </c>
      <c r="AJ210" s="14">
        <f t="shared" si="142"/>
        <v>828.46845721534669</v>
      </c>
      <c r="AK210" s="13">
        <f t="shared" si="143"/>
        <v>1.2784988382346325</v>
      </c>
      <c r="AL210" s="14">
        <f t="shared" si="144"/>
        <v>828.80035730253599</v>
      </c>
      <c r="AM210" s="13">
        <f t="shared" si="145"/>
        <v>1.2784988382346325</v>
      </c>
      <c r="AN210" s="14">
        <f t="shared" si="146"/>
        <v>828.80035730253599</v>
      </c>
    </row>
    <row r="211" spans="16:40" x14ac:dyDescent="0.25">
      <c r="P211" s="13">
        <f t="shared" si="124"/>
        <v>1.2778541360146003</v>
      </c>
      <c r="Q211" s="14">
        <f t="shared" si="125"/>
        <v>837.57507430162275</v>
      </c>
      <c r="R211" s="13">
        <f t="shared" si="126"/>
        <v>1.3175798244716865</v>
      </c>
      <c r="S211" s="14">
        <f t="shared" si="147"/>
        <v>856.72138385834182</v>
      </c>
      <c r="T211" s="13">
        <f t="shared" si="127"/>
        <v>1.3394374004511849</v>
      </c>
      <c r="U211" s="14">
        <f t="shared" si="128"/>
        <v>866.98926591013526</v>
      </c>
      <c r="V211" s="13">
        <f t="shared" si="129"/>
        <v>1.2753543819101882</v>
      </c>
      <c r="W211" s="14">
        <f t="shared" si="130"/>
        <v>841.99048143554796</v>
      </c>
      <c r="X211" s="13">
        <f t="shared" si="131"/>
        <v>1.2990636508763</v>
      </c>
      <c r="Y211" s="14">
        <f t="shared" si="132"/>
        <v>853.99646238201058</v>
      </c>
      <c r="Z211" s="13">
        <f t="shared" si="133"/>
        <v>1.3284559828356506</v>
      </c>
      <c r="AA211" s="14">
        <f t="shared" si="134"/>
        <v>867.98487027854685</v>
      </c>
      <c r="AB211" s="13">
        <f t="shared" si="135"/>
        <v>1.2680664446230085</v>
      </c>
      <c r="AC211" s="14">
        <f t="shared" si="136"/>
        <v>856.6622688666572</v>
      </c>
      <c r="AD211" s="13">
        <f t="shared" si="137"/>
        <v>1.2911613819695913</v>
      </c>
      <c r="AE211" s="14">
        <f t="shared" si="138"/>
        <v>868.2174196394111</v>
      </c>
      <c r="AF211" s="13">
        <f t="shared" si="139"/>
        <v>1.3198200044488453</v>
      </c>
      <c r="AG211" s="14">
        <f t="shared" si="140"/>
        <v>881.93499705711292</v>
      </c>
      <c r="AI211" s="13">
        <f t="shared" si="141"/>
        <v>1.2784988382346325</v>
      </c>
      <c r="AJ211" s="14">
        <f t="shared" si="142"/>
        <v>828.46845721534669</v>
      </c>
      <c r="AK211" s="13">
        <f t="shared" si="143"/>
        <v>1.2784988382346325</v>
      </c>
      <c r="AL211" s="14">
        <f t="shared" si="144"/>
        <v>828.80035730253599</v>
      </c>
      <c r="AM211" s="13">
        <f t="shared" si="145"/>
        <v>1.2784988382346325</v>
      </c>
      <c r="AN211" s="14">
        <f t="shared" si="146"/>
        <v>828.80035730253599</v>
      </c>
    </row>
    <row r="212" spans="16:40" x14ac:dyDescent="0.25">
      <c r="P212" s="13">
        <f t="shared" si="124"/>
        <v>1.2778541360146003</v>
      </c>
      <c r="Q212" s="14">
        <f t="shared" si="125"/>
        <v>837.57507430162275</v>
      </c>
      <c r="R212" s="13">
        <f t="shared" si="126"/>
        <v>1.3175798244716865</v>
      </c>
      <c r="S212" s="14">
        <f t="shared" si="147"/>
        <v>856.72138385834182</v>
      </c>
      <c r="T212" s="13">
        <f t="shared" si="127"/>
        <v>1.3394374004511849</v>
      </c>
      <c r="U212" s="14">
        <f t="shared" si="128"/>
        <v>866.98926591013526</v>
      </c>
      <c r="V212" s="13">
        <f t="shared" si="129"/>
        <v>1.2753543819101882</v>
      </c>
      <c r="W212" s="14">
        <f t="shared" si="130"/>
        <v>841.99048143554796</v>
      </c>
      <c r="X212" s="13">
        <f t="shared" si="131"/>
        <v>1.2990636508763</v>
      </c>
      <c r="Y212" s="14">
        <f t="shared" si="132"/>
        <v>853.99646238201058</v>
      </c>
      <c r="Z212" s="13">
        <f t="shared" si="133"/>
        <v>1.3284559828356506</v>
      </c>
      <c r="AA212" s="14">
        <f t="shared" si="134"/>
        <v>867.98487027854685</v>
      </c>
      <c r="AB212" s="13">
        <f t="shared" si="135"/>
        <v>1.2680664446230085</v>
      </c>
      <c r="AC212" s="14">
        <f t="shared" si="136"/>
        <v>856.6622688666572</v>
      </c>
      <c r="AD212" s="13">
        <f t="shared" si="137"/>
        <v>1.2911613819695913</v>
      </c>
      <c r="AE212" s="14">
        <f t="shared" si="138"/>
        <v>868.2174196394111</v>
      </c>
      <c r="AF212" s="13">
        <f t="shared" si="139"/>
        <v>1.3198200044488453</v>
      </c>
      <c r="AG212" s="14">
        <f t="shared" si="140"/>
        <v>881.93499705711292</v>
      </c>
      <c r="AI212" s="13">
        <f t="shared" si="141"/>
        <v>1.2784988382346325</v>
      </c>
      <c r="AJ212" s="14">
        <f t="shared" si="142"/>
        <v>828.46845721534669</v>
      </c>
      <c r="AK212" s="13">
        <f t="shared" si="143"/>
        <v>1.2784988382346325</v>
      </c>
      <c r="AL212" s="14">
        <f t="shared" si="144"/>
        <v>828.80035730253599</v>
      </c>
      <c r="AM212" s="13">
        <f t="shared" si="145"/>
        <v>1.2784988382346325</v>
      </c>
      <c r="AN212" s="14">
        <f t="shared" si="146"/>
        <v>828.80035730253599</v>
      </c>
    </row>
    <row r="213" spans="16:40" x14ac:dyDescent="0.25">
      <c r="P213" s="13">
        <f t="shared" si="124"/>
        <v>1.2778541360146003</v>
      </c>
      <c r="Q213" s="14">
        <f t="shared" si="125"/>
        <v>837.57507430162275</v>
      </c>
      <c r="R213" s="13">
        <f t="shared" si="126"/>
        <v>1.3175798244716865</v>
      </c>
      <c r="S213" s="14">
        <f t="shared" si="147"/>
        <v>856.72138385834182</v>
      </c>
      <c r="T213" s="13">
        <f t="shared" si="127"/>
        <v>1.3394374004511849</v>
      </c>
      <c r="U213" s="14">
        <f t="shared" si="128"/>
        <v>866.98926591013526</v>
      </c>
      <c r="V213" s="13">
        <f t="shared" si="129"/>
        <v>1.2753543819101882</v>
      </c>
      <c r="W213" s="14">
        <f t="shared" si="130"/>
        <v>841.99048143554796</v>
      </c>
      <c r="X213" s="13">
        <f t="shared" si="131"/>
        <v>1.2990636508763</v>
      </c>
      <c r="Y213" s="14">
        <f t="shared" si="132"/>
        <v>853.99646238201058</v>
      </c>
      <c r="Z213" s="13">
        <f t="shared" si="133"/>
        <v>1.3284559828356506</v>
      </c>
      <c r="AA213" s="14">
        <f t="shared" si="134"/>
        <v>867.98487027854685</v>
      </c>
      <c r="AB213" s="13">
        <f t="shared" si="135"/>
        <v>1.2680664446230085</v>
      </c>
      <c r="AC213" s="14">
        <f t="shared" si="136"/>
        <v>856.6622688666572</v>
      </c>
      <c r="AD213" s="13">
        <f t="shared" si="137"/>
        <v>1.2911613819695913</v>
      </c>
      <c r="AE213" s="14">
        <f t="shared" si="138"/>
        <v>868.2174196394111</v>
      </c>
      <c r="AF213" s="13">
        <f t="shared" si="139"/>
        <v>1.3198200044488453</v>
      </c>
      <c r="AG213" s="14">
        <f t="shared" si="140"/>
        <v>881.93499705711292</v>
      </c>
      <c r="AI213" s="13">
        <f t="shared" si="141"/>
        <v>1.2784988382346325</v>
      </c>
      <c r="AJ213" s="14">
        <f t="shared" si="142"/>
        <v>828.46845721534669</v>
      </c>
      <c r="AK213" s="13">
        <f t="shared" si="143"/>
        <v>1.2784988382346325</v>
      </c>
      <c r="AL213" s="14">
        <f t="shared" si="144"/>
        <v>828.80035730253599</v>
      </c>
      <c r="AM213" s="13">
        <f t="shared" si="145"/>
        <v>1.2784988382346325</v>
      </c>
      <c r="AN213" s="14">
        <f t="shared" si="146"/>
        <v>828.80035730253599</v>
      </c>
    </row>
    <row r="214" spans="16:40" x14ac:dyDescent="0.25">
      <c r="P214" s="13">
        <f t="shared" si="124"/>
        <v>1.2778541360146003</v>
      </c>
      <c r="Q214" s="14">
        <f t="shared" si="125"/>
        <v>837.57507430162275</v>
      </c>
      <c r="R214" s="13">
        <f t="shared" si="126"/>
        <v>1.3175798244716865</v>
      </c>
      <c r="S214" s="14">
        <f t="shared" si="147"/>
        <v>856.72138385834182</v>
      </c>
      <c r="T214" s="13">
        <f t="shared" si="127"/>
        <v>1.3394374004511849</v>
      </c>
      <c r="U214" s="14">
        <f t="shared" si="128"/>
        <v>866.98926591013526</v>
      </c>
      <c r="V214" s="13">
        <f t="shared" si="129"/>
        <v>1.2753543819101882</v>
      </c>
      <c r="W214" s="14">
        <f t="shared" si="130"/>
        <v>841.99048143554796</v>
      </c>
      <c r="X214" s="13">
        <f t="shared" si="131"/>
        <v>1.2990636508763</v>
      </c>
      <c r="Y214" s="14">
        <f t="shared" si="132"/>
        <v>853.99646238201058</v>
      </c>
      <c r="Z214" s="13">
        <f t="shared" si="133"/>
        <v>1.3284559828356506</v>
      </c>
      <c r="AA214" s="14">
        <f t="shared" si="134"/>
        <v>867.98487027854685</v>
      </c>
      <c r="AB214" s="13">
        <f t="shared" si="135"/>
        <v>1.2680664446230085</v>
      </c>
      <c r="AC214" s="14">
        <f t="shared" si="136"/>
        <v>856.6622688666572</v>
      </c>
      <c r="AD214" s="13">
        <f t="shared" si="137"/>
        <v>1.2911613819695913</v>
      </c>
      <c r="AE214" s="14">
        <f t="shared" si="138"/>
        <v>868.2174196394111</v>
      </c>
      <c r="AF214" s="13">
        <f t="shared" si="139"/>
        <v>1.3198200044488453</v>
      </c>
      <c r="AG214" s="14">
        <f t="shared" si="140"/>
        <v>881.93499705711292</v>
      </c>
      <c r="AI214" s="13">
        <f t="shared" si="141"/>
        <v>1.2784988382346325</v>
      </c>
      <c r="AJ214" s="14">
        <f t="shared" si="142"/>
        <v>828.46845721534669</v>
      </c>
      <c r="AK214" s="13">
        <f t="shared" si="143"/>
        <v>1.2784988382346325</v>
      </c>
      <c r="AL214" s="14">
        <f t="shared" si="144"/>
        <v>828.80035730253599</v>
      </c>
      <c r="AM214" s="13">
        <f t="shared" si="145"/>
        <v>1.2784988382346325</v>
      </c>
      <c r="AN214" s="14">
        <f t="shared" si="146"/>
        <v>828.80035730253599</v>
      </c>
    </row>
    <row r="215" spans="16:40" x14ac:dyDescent="0.25">
      <c r="P215" s="13">
        <f t="shared" si="124"/>
        <v>1.2778541360146003</v>
      </c>
      <c r="Q215" s="14">
        <f t="shared" si="125"/>
        <v>837.57507430162275</v>
      </c>
      <c r="R215" s="13">
        <f t="shared" si="126"/>
        <v>1.3175798244716865</v>
      </c>
      <c r="S215" s="14">
        <f t="shared" si="147"/>
        <v>856.72138385834182</v>
      </c>
      <c r="T215" s="13">
        <f t="shared" si="127"/>
        <v>1.3394374004511849</v>
      </c>
      <c r="U215" s="14">
        <f t="shared" si="128"/>
        <v>866.98926591013526</v>
      </c>
      <c r="V215" s="13">
        <f t="shared" si="129"/>
        <v>1.2753543819101882</v>
      </c>
      <c r="W215" s="14">
        <f t="shared" si="130"/>
        <v>841.99048143554796</v>
      </c>
      <c r="X215" s="13">
        <f t="shared" si="131"/>
        <v>1.2990636508763</v>
      </c>
      <c r="Y215" s="14">
        <f t="shared" si="132"/>
        <v>853.99646238201058</v>
      </c>
      <c r="Z215" s="13">
        <f t="shared" si="133"/>
        <v>1.3284559828356506</v>
      </c>
      <c r="AA215" s="14">
        <f t="shared" si="134"/>
        <v>867.98487027854685</v>
      </c>
      <c r="AB215" s="13">
        <f t="shared" si="135"/>
        <v>1.2680664446230085</v>
      </c>
      <c r="AC215" s="14">
        <f t="shared" si="136"/>
        <v>856.6622688666572</v>
      </c>
      <c r="AD215" s="13">
        <f t="shared" si="137"/>
        <v>1.2911613819695913</v>
      </c>
      <c r="AE215" s="14">
        <f t="shared" si="138"/>
        <v>868.2174196394111</v>
      </c>
      <c r="AF215" s="13">
        <f t="shared" si="139"/>
        <v>1.3198200044488453</v>
      </c>
      <c r="AG215" s="14">
        <f t="shared" si="140"/>
        <v>881.93499705711292</v>
      </c>
      <c r="AI215" s="13">
        <f t="shared" si="141"/>
        <v>1.2784988382346325</v>
      </c>
      <c r="AJ215" s="14">
        <f t="shared" si="142"/>
        <v>828.46845721534669</v>
      </c>
      <c r="AK215" s="13">
        <f t="shared" si="143"/>
        <v>1.2784988382346325</v>
      </c>
      <c r="AL215" s="14">
        <f t="shared" si="144"/>
        <v>828.80035730253599</v>
      </c>
      <c r="AM215" s="13">
        <f t="shared" si="145"/>
        <v>1.2784988382346325</v>
      </c>
      <c r="AN215" s="14">
        <f t="shared" si="146"/>
        <v>828.80035730253599</v>
      </c>
    </row>
    <row r="216" spans="16:40" x14ac:dyDescent="0.25">
      <c r="P216" s="13">
        <f t="shared" si="124"/>
        <v>1.2778541360146003</v>
      </c>
      <c r="Q216" s="14">
        <f t="shared" si="125"/>
        <v>837.57507430162275</v>
      </c>
      <c r="R216" s="13">
        <f t="shared" si="126"/>
        <v>1.3175798244716865</v>
      </c>
      <c r="S216" s="14">
        <f t="shared" si="147"/>
        <v>856.72138385834182</v>
      </c>
      <c r="T216" s="13">
        <f t="shared" si="127"/>
        <v>1.3394374004511849</v>
      </c>
      <c r="U216" s="14">
        <f t="shared" si="128"/>
        <v>866.98926591013526</v>
      </c>
      <c r="V216" s="13">
        <f t="shared" si="129"/>
        <v>1.2753543819101882</v>
      </c>
      <c r="W216" s="14">
        <f t="shared" si="130"/>
        <v>841.99048143554796</v>
      </c>
      <c r="X216" s="13">
        <f t="shared" si="131"/>
        <v>1.2990636508763</v>
      </c>
      <c r="Y216" s="14">
        <f t="shared" si="132"/>
        <v>853.99646238201058</v>
      </c>
      <c r="Z216" s="13">
        <f t="shared" si="133"/>
        <v>1.3284559828356506</v>
      </c>
      <c r="AA216" s="14">
        <f t="shared" si="134"/>
        <v>867.98487027854685</v>
      </c>
      <c r="AB216" s="13">
        <f t="shared" si="135"/>
        <v>1.2680664446230085</v>
      </c>
      <c r="AC216" s="14">
        <f t="shared" si="136"/>
        <v>856.6622688666572</v>
      </c>
      <c r="AD216" s="13">
        <f t="shared" si="137"/>
        <v>1.2911613819695913</v>
      </c>
      <c r="AE216" s="14">
        <f t="shared" si="138"/>
        <v>868.2174196394111</v>
      </c>
      <c r="AF216" s="13">
        <f t="shared" si="139"/>
        <v>1.3198200044488453</v>
      </c>
      <c r="AG216" s="14">
        <f t="shared" si="140"/>
        <v>881.93499705711292</v>
      </c>
      <c r="AI216" s="13">
        <f t="shared" si="141"/>
        <v>1.2784988382346325</v>
      </c>
      <c r="AJ216" s="14">
        <f t="shared" si="142"/>
        <v>828.46845721534669</v>
      </c>
      <c r="AK216" s="13">
        <f t="shared" si="143"/>
        <v>1.2784988382346325</v>
      </c>
      <c r="AL216" s="14">
        <f t="shared" si="144"/>
        <v>828.80035730253599</v>
      </c>
      <c r="AM216" s="13">
        <f t="shared" si="145"/>
        <v>1.2784988382346325</v>
      </c>
      <c r="AN216" s="14">
        <f t="shared" si="146"/>
        <v>828.80035730253599</v>
      </c>
    </row>
    <row r="217" spans="16:40" x14ac:dyDescent="0.25">
      <c r="P217" s="13">
        <f t="shared" si="124"/>
        <v>1.2778541360146003</v>
      </c>
      <c r="Q217" s="14">
        <f t="shared" si="125"/>
        <v>837.57507430162275</v>
      </c>
      <c r="R217" s="13">
        <f t="shared" si="126"/>
        <v>1.3175798244716865</v>
      </c>
      <c r="S217" s="14">
        <f t="shared" si="147"/>
        <v>856.72138385834182</v>
      </c>
      <c r="T217" s="13">
        <f t="shared" si="127"/>
        <v>1.3394374004511849</v>
      </c>
      <c r="U217" s="14">
        <f t="shared" si="128"/>
        <v>866.98926591013526</v>
      </c>
      <c r="V217" s="13">
        <f t="shared" si="129"/>
        <v>1.2753543819101882</v>
      </c>
      <c r="W217" s="14">
        <f t="shared" si="130"/>
        <v>841.99048143554796</v>
      </c>
      <c r="X217" s="13">
        <f t="shared" si="131"/>
        <v>1.2990636508763</v>
      </c>
      <c r="Y217" s="14">
        <f t="shared" si="132"/>
        <v>853.99646238201058</v>
      </c>
      <c r="Z217" s="13">
        <f t="shared" si="133"/>
        <v>1.3284559828356506</v>
      </c>
      <c r="AA217" s="14">
        <f t="shared" si="134"/>
        <v>867.98487027854685</v>
      </c>
      <c r="AB217" s="13">
        <f t="shared" si="135"/>
        <v>1.2680664446230085</v>
      </c>
      <c r="AC217" s="14">
        <f t="shared" si="136"/>
        <v>856.6622688666572</v>
      </c>
      <c r="AD217" s="13">
        <f t="shared" si="137"/>
        <v>1.2911613819695913</v>
      </c>
      <c r="AE217" s="14">
        <f t="shared" si="138"/>
        <v>868.2174196394111</v>
      </c>
      <c r="AF217" s="13">
        <f t="shared" si="139"/>
        <v>1.3198200044488453</v>
      </c>
      <c r="AG217" s="14">
        <f t="shared" si="140"/>
        <v>881.93499705711292</v>
      </c>
      <c r="AI217" s="13">
        <f t="shared" si="141"/>
        <v>1.2784988382346325</v>
      </c>
      <c r="AJ217" s="14">
        <f t="shared" si="142"/>
        <v>828.46845721534669</v>
      </c>
      <c r="AK217" s="13">
        <f t="shared" si="143"/>
        <v>1.2784988382346325</v>
      </c>
      <c r="AL217" s="14">
        <f t="shared" si="144"/>
        <v>828.80035730253599</v>
      </c>
      <c r="AM217" s="13">
        <f t="shared" si="145"/>
        <v>1.2784988382346325</v>
      </c>
      <c r="AN217" s="14">
        <f t="shared" si="146"/>
        <v>828.80035730253599</v>
      </c>
    </row>
    <row r="218" spans="16:40" x14ac:dyDescent="0.25">
      <c r="P218" s="13">
        <f t="shared" si="124"/>
        <v>1.2778541360146003</v>
      </c>
      <c r="Q218" s="14">
        <f t="shared" si="125"/>
        <v>837.57507430162275</v>
      </c>
      <c r="R218" s="13">
        <f t="shared" si="126"/>
        <v>1.3175798244716865</v>
      </c>
      <c r="S218" s="14">
        <f t="shared" si="147"/>
        <v>856.72138385834182</v>
      </c>
      <c r="T218" s="13">
        <f t="shared" si="127"/>
        <v>1.3394374004511849</v>
      </c>
      <c r="U218" s="14">
        <f t="shared" si="128"/>
        <v>866.98926591013526</v>
      </c>
      <c r="V218" s="13">
        <f t="shared" si="129"/>
        <v>1.2753543819101882</v>
      </c>
      <c r="W218" s="14">
        <f t="shared" si="130"/>
        <v>841.99048143554796</v>
      </c>
      <c r="X218" s="13">
        <f t="shared" si="131"/>
        <v>1.2990636508763</v>
      </c>
      <c r="Y218" s="14">
        <f t="shared" si="132"/>
        <v>853.99646238201058</v>
      </c>
      <c r="Z218" s="13">
        <f t="shared" si="133"/>
        <v>1.3284559828356506</v>
      </c>
      <c r="AA218" s="14">
        <f t="shared" si="134"/>
        <v>867.98487027854685</v>
      </c>
      <c r="AB218" s="13">
        <f t="shared" si="135"/>
        <v>1.2680664446230085</v>
      </c>
      <c r="AC218" s="14">
        <f t="shared" si="136"/>
        <v>856.6622688666572</v>
      </c>
      <c r="AD218" s="13">
        <f t="shared" si="137"/>
        <v>1.2911613819695913</v>
      </c>
      <c r="AE218" s="14">
        <f t="shared" si="138"/>
        <v>868.2174196394111</v>
      </c>
      <c r="AF218" s="13">
        <f t="shared" si="139"/>
        <v>1.3198200044488453</v>
      </c>
      <c r="AG218" s="14">
        <f t="shared" si="140"/>
        <v>881.93499705711292</v>
      </c>
      <c r="AI218" s="13">
        <f t="shared" si="141"/>
        <v>1.2784988382346325</v>
      </c>
      <c r="AJ218" s="14">
        <f t="shared" si="142"/>
        <v>828.46845721534669</v>
      </c>
      <c r="AK218" s="13">
        <f t="shared" si="143"/>
        <v>1.2784988382346325</v>
      </c>
      <c r="AL218" s="14">
        <f t="shared" si="144"/>
        <v>828.80035730253599</v>
      </c>
      <c r="AM218" s="13">
        <f t="shared" si="145"/>
        <v>1.2784988382346325</v>
      </c>
      <c r="AN218" s="14">
        <f t="shared" si="146"/>
        <v>828.80035730253599</v>
      </c>
    </row>
    <row r="219" spans="16:40" x14ac:dyDescent="0.25">
      <c r="P219" s="13">
        <f t="shared" si="124"/>
        <v>1.2778541360146003</v>
      </c>
      <c r="Q219" s="14">
        <f t="shared" si="125"/>
        <v>837.57507430162275</v>
      </c>
      <c r="R219" s="13">
        <f t="shared" si="126"/>
        <v>1.3175798244716865</v>
      </c>
      <c r="S219" s="14">
        <f t="shared" si="147"/>
        <v>856.72138385834182</v>
      </c>
      <c r="T219" s="13">
        <f t="shared" si="127"/>
        <v>1.3394374004511849</v>
      </c>
      <c r="U219" s="14">
        <f t="shared" si="128"/>
        <v>866.98926591013526</v>
      </c>
      <c r="V219" s="13">
        <f t="shared" si="129"/>
        <v>1.2753543819101882</v>
      </c>
      <c r="W219" s="14">
        <f t="shared" si="130"/>
        <v>841.99048143554796</v>
      </c>
      <c r="X219" s="13">
        <f t="shared" si="131"/>
        <v>1.2990636508763</v>
      </c>
      <c r="Y219" s="14">
        <f t="shared" si="132"/>
        <v>853.99646238201058</v>
      </c>
      <c r="Z219" s="13">
        <f t="shared" si="133"/>
        <v>1.3284559828356506</v>
      </c>
      <c r="AA219" s="14">
        <f t="shared" si="134"/>
        <v>867.98487027854685</v>
      </c>
      <c r="AB219" s="13">
        <f t="shared" si="135"/>
        <v>1.2680664446230085</v>
      </c>
      <c r="AC219" s="14">
        <f t="shared" si="136"/>
        <v>856.6622688666572</v>
      </c>
      <c r="AD219" s="13">
        <f t="shared" si="137"/>
        <v>1.2911613819695913</v>
      </c>
      <c r="AE219" s="14">
        <f t="shared" si="138"/>
        <v>868.2174196394111</v>
      </c>
      <c r="AF219" s="13">
        <f t="shared" si="139"/>
        <v>1.3198200044488453</v>
      </c>
      <c r="AG219" s="14">
        <f t="shared" si="140"/>
        <v>881.93499705711292</v>
      </c>
      <c r="AI219" s="13">
        <f t="shared" si="141"/>
        <v>1.2784988382346325</v>
      </c>
      <c r="AJ219" s="14">
        <f t="shared" si="142"/>
        <v>828.46845721534669</v>
      </c>
      <c r="AK219" s="13">
        <f t="shared" si="143"/>
        <v>1.2784988382346325</v>
      </c>
      <c r="AL219" s="14">
        <f t="shared" si="144"/>
        <v>828.80035730253599</v>
      </c>
      <c r="AM219" s="13">
        <f t="shared" si="145"/>
        <v>1.2784988382346325</v>
      </c>
      <c r="AN219" s="14">
        <f t="shared" si="146"/>
        <v>828.80035730253599</v>
      </c>
    </row>
    <row r="220" spans="16:40" x14ac:dyDescent="0.25">
      <c r="P220" s="13">
        <f t="shared" si="124"/>
        <v>1.2778541360146003</v>
      </c>
      <c r="Q220" s="14">
        <f t="shared" si="125"/>
        <v>837.57507430162275</v>
      </c>
      <c r="R220" s="13">
        <f t="shared" si="126"/>
        <v>1.3175798244716865</v>
      </c>
      <c r="S220" s="14">
        <f t="shared" si="147"/>
        <v>856.72138385834182</v>
      </c>
      <c r="T220" s="13">
        <f t="shared" si="127"/>
        <v>1.3394374004511849</v>
      </c>
      <c r="U220" s="14">
        <f t="shared" si="128"/>
        <v>866.98926591013526</v>
      </c>
      <c r="V220" s="13">
        <f t="shared" si="129"/>
        <v>1.2753543819101882</v>
      </c>
      <c r="W220" s="14">
        <f t="shared" si="130"/>
        <v>841.99048143554796</v>
      </c>
      <c r="X220" s="13">
        <f t="shared" si="131"/>
        <v>1.2990636508763</v>
      </c>
      <c r="Y220" s="14">
        <f t="shared" si="132"/>
        <v>853.99646238201058</v>
      </c>
      <c r="Z220" s="13">
        <f t="shared" si="133"/>
        <v>1.3284559828356506</v>
      </c>
      <c r="AA220" s="14">
        <f t="shared" si="134"/>
        <v>867.98487027854685</v>
      </c>
      <c r="AB220" s="13">
        <f t="shared" si="135"/>
        <v>1.2680664446230085</v>
      </c>
      <c r="AC220" s="14">
        <f t="shared" si="136"/>
        <v>856.6622688666572</v>
      </c>
      <c r="AD220" s="13">
        <f t="shared" si="137"/>
        <v>1.2911613819695913</v>
      </c>
      <c r="AE220" s="14">
        <f t="shared" si="138"/>
        <v>868.2174196394111</v>
      </c>
      <c r="AF220" s="13">
        <f t="shared" si="139"/>
        <v>1.3198200044488453</v>
      </c>
      <c r="AG220" s="14">
        <f t="shared" si="140"/>
        <v>881.93499705711292</v>
      </c>
      <c r="AI220" s="13">
        <f t="shared" si="141"/>
        <v>1.2784988382346325</v>
      </c>
      <c r="AJ220" s="14">
        <f t="shared" si="142"/>
        <v>828.46845721534669</v>
      </c>
      <c r="AK220" s="13">
        <f t="shared" si="143"/>
        <v>1.2784988382346325</v>
      </c>
      <c r="AL220" s="14">
        <f t="shared" si="144"/>
        <v>828.80035730253599</v>
      </c>
      <c r="AM220" s="13">
        <f t="shared" si="145"/>
        <v>1.2784988382346325</v>
      </c>
      <c r="AN220" s="14">
        <f t="shared" si="146"/>
        <v>828.80035730253599</v>
      </c>
    </row>
    <row r="221" spans="16:40" x14ac:dyDescent="0.25">
      <c r="P221" s="13">
        <f t="shared" ref="P221:P255" si="148">(P220+($B$20-(P220*0.64))/0.8)/1000</f>
        <v>1.2778541360146003</v>
      </c>
      <c r="Q221" s="14">
        <f t="shared" ref="Q221:Q255" si="149">(-53.07+(304.9*P221)+(90.8*$B$14)-(3.13*$B$14^2))</f>
        <v>837.57507430162275</v>
      </c>
      <c r="R221" s="13">
        <f t="shared" ref="R221:R255" si="150">(R220+($C$20-(R220*0.64))/0.8)/1000</f>
        <v>1.3175798244716865</v>
      </c>
      <c r="S221" s="14">
        <f t="shared" ref="S221:S255" si="151">(-53.07+(304.9*R221)+(90.8*$C$14)-(3.13*$C$14^2))</f>
        <v>856.72138385834182</v>
      </c>
      <c r="T221" s="13">
        <f t="shared" ref="T221:T255" si="152">(T220+($D$20-(T220*0.64))/0.8)/1000</f>
        <v>1.3394374004511849</v>
      </c>
      <c r="U221" s="14">
        <f t="shared" ref="U221:U255" si="153">(-53.07+(304.9*T221)+(90.8*$D$14)-(3.13*$D$14^2))</f>
        <v>866.98926591013526</v>
      </c>
      <c r="V221" s="13">
        <f t="shared" ref="V221:V255" si="154">(V220+($E$20-(V220*0.64))/0.8)/1000</f>
        <v>1.2753543819101882</v>
      </c>
      <c r="W221" s="14">
        <f t="shared" ref="W221:W255" si="155">(-53.07+(304.9*V221)+(90.8*$E$14)-(3.13*$E$14^2))</f>
        <v>841.99048143554796</v>
      </c>
      <c r="X221" s="13">
        <f t="shared" ref="X221:X255" si="156">(X220+($F$20-(X220*0.64))/0.8)/1000</f>
        <v>1.2990636508763</v>
      </c>
      <c r="Y221" s="14">
        <f t="shared" ref="Y221:Y255" si="157">(-53.07+(304.9*X221)+(90.8*$F$14)-(3.13*$F$14^2))</f>
        <v>853.99646238201058</v>
      </c>
      <c r="Z221" s="13">
        <f t="shared" ref="Z221:Z255" si="158">(Z220+($G$20-(Z220*0.64))/0.8)/1000</f>
        <v>1.3284559828356506</v>
      </c>
      <c r="AA221" s="14">
        <f t="shared" ref="AA221:AA255" si="159">(-53.07+(304.9*Z221)+(90.8*$G$14)-(3.13*$G$14^2))</f>
        <v>867.98487027854685</v>
      </c>
      <c r="AB221" s="13">
        <f t="shared" ref="AB221:AB255" si="160">(AB220+($H$20-(AB220*0.64))/0.8)/1000</f>
        <v>1.2680664446230085</v>
      </c>
      <c r="AC221" s="14">
        <f t="shared" ref="AC221:AC255" si="161">(-53.07+(304.9*AB221)+(90.8*$H$14)-(3.13*$H$14^2))</f>
        <v>856.6622688666572</v>
      </c>
      <c r="AD221" s="13">
        <f t="shared" ref="AD221:AD255" si="162">(AD220+($I$20-(AD220*0.64))/0.8)/1000</f>
        <v>1.2911613819695913</v>
      </c>
      <c r="AE221" s="14">
        <f t="shared" ref="AE221:AE255" si="163">(-53.07+(304.9*AD221)+(90.8*$I$14)-(3.13*$I$14^2))</f>
        <v>868.2174196394111</v>
      </c>
      <c r="AF221" s="13">
        <f t="shared" ref="AF221:AF255" si="164">(AF220+($J$20-(AF220*0.64))/0.8)/1000</f>
        <v>1.3198200044488453</v>
      </c>
      <c r="AG221" s="14">
        <f t="shared" ref="AG221:AG255" si="165">(-53.07+(304.9*AF221)+(90.8*$J$14)-(3.13*$J$14^2))</f>
        <v>881.93499705711292</v>
      </c>
      <c r="AI221" s="13">
        <f t="shared" ref="AI221:AI255" si="166">(AI220+($L$20-(AI220*0.64))/0.8)/1000</f>
        <v>1.2784988382346325</v>
      </c>
      <c r="AJ221" s="14">
        <f t="shared" ref="AJ221:AJ255" si="167">(-53.07+(304.9*AI221)+(90.8*$L$14)-(3.13*$L$14^2))</f>
        <v>828.46845721534669</v>
      </c>
      <c r="AK221" s="13">
        <f t="shared" ref="AK221:AK255" si="168">(AK220+($M$20-(AK220*0.64))/0.8)/1000</f>
        <v>1.2784988382346325</v>
      </c>
      <c r="AL221" s="14">
        <f t="shared" ref="AL221:AL255" si="169">(-53.07+(304.9*AK221)+(90.8*$M$14)-(3.13*$M$14^2))</f>
        <v>828.80035730253599</v>
      </c>
      <c r="AM221" s="13">
        <f t="shared" ref="AM221:AM255" si="170">(AM220+($N$20-(AM220*0.64))/0.8)/1000</f>
        <v>1.2784988382346325</v>
      </c>
      <c r="AN221" s="14">
        <f t="shared" ref="AN221:AN255" si="171">(-53.07+(304.9*AM221)+(90.8*$M$14)-(3.13*$M$14^2))</f>
        <v>828.80035730253599</v>
      </c>
    </row>
    <row r="222" spans="16:40" x14ac:dyDescent="0.25">
      <c r="P222" s="13">
        <f t="shared" si="148"/>
        <v>1.2778541360146003</v>
      </c>
      <c r="Q222" s="14">
        <f t="shared" si="149"/>
        <v>837.57507430162275</v>
      </c>
      <c r="R222" s="13">
        <f t="shared" si="150"/>
        <v>1.3175798244716865</v>
      </c>
      <c r="S222" s="14">
        <f t="shared" si="151"/>
        <v>856.72138385834182</v>
      </c>
      <c r="T222" s="13">
        <f t="shared" si="152"/>
        <v>1.3394374004511849</v>
      </c>
      <c r="U222" s="14">
        <f t="shared" si="153"/>
        <v>866.98926591013526</v>
      </c>
      <c r="V222" s="13">
        <f t="shared" si="154"/>
        <v>1.2753543819101882</v>
      </c>
      <c r="W222" s="14">
        <f t="shared" si="155"/>
        <v>841.99048143554796</v>
      </c>
      <c r="X222" s="13">
        <f t="shared" si="156"/>
        <v>1.2990636508763</v>
      </c>
      <c r="Y222" s="14">
        <f t="shared" si="157"/>
        <v>853.99646238201058</v>
      </c>
      <c r="Z222" s="13">
        <f t="shared" si="158"/>
        <v>1.3284559828356506</v>
      </c>
      <c r="AA222" s="14">
        <f t="shared" si="159"/>
        <v>867.98487027854685</v>
      </c>
      <c r="AB222" s="13">
        <f t="shared" si="160"/>
        <v>1.2680664446230085</v>
      </c>
      <c r="AC222" s="14">
        <f t="shared" si="161"/>
        <v>856.6622688666572</v>
      </c>
      <c r="AD222" s="13">
        <f t="shared" si="162"/>
        <v>1.2911613819695913</v>
      </c>
      <c r="AE222" s="14">
        <f t="shared" si="163"/>
        <v>868.2174196394111</v>
      </c>
      <c r="AF222" s="13">
        <f t="shared" si="164"/>
        <v>1.3198200044488453</v>
      </c>
      <c r="AG222" s="14">
        <f t="shared" si="165"/>
        <v>881.93499705711292</v>
      </c>
      <c r="AI222" s="13">
        <f t="shared" si="166"/>
        <v>1.2784988382346325</v>
      </c>
      <c r="AJ222" s="14">
        <f t="shared" si="167"/>
        <v>828.46845721534669</v>
      </c>
      <c r="AK222" s="13">
        <f t="shared" si="168"/>
        <v>1.2784988382346325</v>
      </c>
      <c r="AL222" s="14">
        <f t="shared" si="169"/>
        <v>828.80035730253599</v>
      </c>
      <c r="AM222" s="13">
        <f t="shared" si="170"/>
        <v>1.2784988382346325</v>
      </c>
      <c r="AN222" s="14">
        <f t="shared" si="171"/>
        <v>828.80035730253599</v>
      </c>
    </row>
    <row r="223" spans="16:40" x14ac:dyDescent="0.25">
      <c r="P223" s="13">
        <f t="shared" si="148"/>
        <v>1.2778541360146003</v>
      </c>
      <c r="Q223" s="14">
        <f t="shared" si="149"/>
        <v>837.57507430162275</v>
      </c>
      <c r="R223" s="13">
        <f t="shared" si="150"/>
        <v>1.3175798244716865</v>
      </c>
      <c r="S223" s="14">
        <f t="shared" si="151"/>
        <v>856.72138385834182</v>
      </c>
      <c r="T223" s="13">
        <f t="shared" si="152"/>
        <v>1.3394374004511849</v>
      </c>
      <c r="U223" s="14">
        <f t="shared" si="153"/>
        <v>866.98926591013526</v>
      </c>
      <c r="V223" s="13">
        <f t="shared" si="154"/>
        <v>1.2753543819101882</v>
      </c>
      <c r="W223" s="14">
        <f t="shared" si="155"/>
        <v>841.99048143554796</v>
      </c>
      <c r="X223" s="13">
        <f t="shared" si="156"/>
        <v>1.2990636508763</v>
      </c>
      <c r="Y223" s="14">
        <f t="shared" si="157"/>
        <v>853.99646238201058</v>
      </c>
      <c r="Z223" s="13">
        <f t="shared" si="158"/>
        <v>1.3284559828356506</v>
      </c>
      <c r="AA223" s="14">
        <f t="shared" si="159"/>
        <v>867.98487027854685</v>
      </c>
      <c r="AB223" s="13">
        <f t="shared" si="160"/>
        <v>1.2680664446230085</v>
      </c>
      <c r="AC223" s="14">
        <f t="shared" si="161"/>
        <v>856.6622688666572</v>
      </c>
      <c r="AD223" s="13">
        <f t="shared" si="162"/>
        <v>1.2911613819695913</v>
      </c>
      <c r="AE223" s="14">
        <f t="shared" si="163"/>
        <v>868.2174196394111</v>
      </c>
      <c r="AF223" s="13">
        <f t="shared" si="164"/>
        <v>1.3198200044488453</v>
      </c>
      <c r="AG223" s="14">
        <f t="shared" si="165"/>
        <v>881.93499705711292</v>
      </c>
      <c r="AI223" s="13">
        <f t="shared" si="166"/>
        <v>1.2784988382346325</v>
      </c>
      <c r="AJ223" s="14">
        <f t="shared" si="167"/>
        <v>828.46845721534669</v>
      </c>
      <c r="AK223" s="13">
        <f t="shared" si="168"/>
        <v>1.2784988382346325</v>
      </c>
      <c r="AL223" s="14">
        <f t="shared" si="169"/>
        <v>828.80035730253599</v>
      </c>
      <c r="AM223" s="13">
        <f t="shared" si="170"/>
        <v>1.2784988382346325</v>
      </c>
      <c r="AN223" s="14">
        <f t="shared" si="171"/>
        <v>828.80035730253599</v>
      </c>
    </row>
    <row r="224" spans="16:40" x14ac:dyDescent="0.25">
      <c r="P224" s="13">
        <f t="shared" si="148"/>
        <v>1.2778541360146003</v>
      </c>
      <c r="Q224" s="14">
        <f t="shared" si="149"/>
        <v>837.57507430162275</v>
      </c>
      <c r="R224" s="13">
        <f t="shared" si="150"/>
        <v>1.3175798244716865</v>
      </c>
      <c r="S224" s="14">
        <f t="shared" si="151"/>
        <v>856.72138385834182</v>
      </c>
      <c r="T224" s="13">
        <f t="shared" si="152"/>
        <v>1.3394374004511849</v>
      </c>
      <c r="U224" s="14">
        <f t="shared" si="153"/>
        <v>866.98926591013526</v>
      </c>
      <c r="V224" s="13">
        <f t="shared" si="154"/>
        <v>1.2753543819101882</v>
      </c>
      <c r="W224" s="14">
        <f t="shared" si="155"/>
        <v>841.99048143554796</v>
      </c>
      <c r="X224" s="13">
        <f t="shared" si="156"/>
        <v>1.2990636508763</v>
      </c>
      <c r="Y224" s="14">
        <f t="shared" si="157"/>
        <v>853.99646238201058</v>
      </c>
      <c r="Z224" s="13">
        <f t="shared" si="158"/>
        <v>1.3284559828356506</v>
      </c>
      <c r="AA224" s="14">
        <f t="shared" si="159"/>
        <v>867.98487027854685</v>
      </c>
      <c r="AB224" s="13">
        <f t="shared" si="160"/>
        <v>1.2680664446230085</v>
      </c>
      <c r="AC224" s="14">
        <f t="shared" si="161"/>
        <v>856.6622688666572</v>
      </c>
      <c r="AD224" s="13">
        <f t="shared" si="162"/>
        <v>1.2911613819695913</v>
      </c>
      <c r="AE224" s="14">
        <f t="shared" si="163"/>
        <v>868.2174196394111</v>
      </c>
      <c r="AF224" s="13">
        <f t="shared" si="164"/>
        <v>1.3198200044488453</v>
      </c>
      <c r="AG224" s="14">
        <f t="shared" si="165"/>
        <v>881.93499705711292</v>
      </c>
      <c r="AI224" s="13">
        <f t="shared" si="166"/>
        <v>1.2784988382346325</v>
      </c>
      <c r="AJ224" s="14">
        <f t="shared" si="167"/>
        <v>828.46845721534669</v>
      </c>
      <c r="AK224" s="13">
        <f t="shared" si="168"/>
        <v>1.2784988382346325</v>
      </c>
      <c r="AL224" s="14">
        <f t="shared" si="169"/>
        <v>828.80035730253599</v>
      </c>
      <c r="AM224" s="13">
        <f t="shared" si="170"/>
        <v>1.2784988382346325</v>
      </c>
      <c r="AN224" s="14">
        <f t="shared" si="171"/>
        <v>828.80035730253599</v>
      </c>
    </row>
    <row r="225" spans="16:40" x14ac:dyDescent="0.25">
      <c r="P225" s="13">
        <f t="shared" si="148"/>
        <v>1.2778541360146003</v>
      </c>
      <c r="Q225" s="14">
        <f t="shared" si="149"/>
        <v>837.57507430162275</v>
      </c>
      <c r="R225" s="13">
        <f t="shared" si="150"/>
        <v>1.3175798244716865</v>
      </c>
      <c r="S225" s="14">
        <f t="shared" si="151"/>
        <v>856.72138385834182</v>
      </c>
      <c r="T225" s="13">
        <f t="shared" si="152"/>
        <v>1.3394374004511849</v>
      </c>
      <c r="U225" s="14">
        <f t="shared" si="153"/>
        <v>866.98926591013526</v>
      </c>
      <c r="V225" s="13">
        <f t="shared" si="154"/>
        <v>1.2753543819101882</v>
      </c>
      <c r="W225" s="14">
        <f t="shared" si="155"/>
        <v>841.99048143554796</v>
      </c>
      <c r="X225" s="13">
        <f t="shared" si="156"/>
        <v>1.2990636508763</v>
      </c>
      <c r="Y225" s="14">
        <f t="shared" si="157"/>
        <v>853.99646238201058</v>
      </c>
      <c r="Z225" s="13">
        <f t="shared" si="158"/>
        <v>1.3284559828356506</v>
      </c>
      <c r="AA225" s="14">
        <f t="shared" si="159"/>
        <v>867.98487027854685</v>
      </c>
      <c r="AB225" s="13">
        <f t="shared" si="160"/>
        <v>1.2680664446230085</v>
      </c>
      <c r="AC225" s="14">
        <f t="shared" si="161"/>
        <v>856.6622688666572</v>
      </c>
      <c r="AD225" s="13">
        <f t="shared" si="162"/>
        <v>1.2911613819695913</v>
      </c>
      <c r="AE225" s="14">
        <f t="shared" si="163"/>
        <v>868.2174196394111</v>
      </c>
      <c r="AF225" s="13">
        <f t="shared" si="164"/>
        <v>1.3198200044488453</v>
      </c>
      <c r="AG225" s="14">
        <f t="shared" si="165"/>
        <v>881.93499705711292</v>
      </c>
      <c r="AI225" s="13">
        <f t="shared" si="166"/>
        <v>1.2784988382346325</v>
      </c>
      <c r="AJ225" s="14">
        <f t="shared" si="167"/>
        <v>828.46845721534669</v>
      </c>
      <c r="AK225" s="13">
        <f t="shared" si="168"/>
        <v>1.2784988382346325</v>
      </c>
      <c r="AL225" s="14">
        <f t="shared" si="169"/>
        <v>828.80035730253599</v>
      </c>
      <c r="AM225" s="13">
        <f t="shared" si="170"/>
        <v>1.2784988382346325</v>
      </c>
      <c r="AN225" s="14">
        <f t="shared" si="171"/>
        <v>828.80035730253599</v>
      </c>
    </row>
    <row r="226" spans="16:40" x14ac:dyDescent="0.25">
      <c r="P226" s="13">
        <f t="shared" si="148"/>
        <v>1.2778541360146003</v>
      </c>
      <c r="Q226" s="14">
        <f t="shared" si="149"/>
        <v>837.57507430162275</v>
      </c>
      <c r="R226" s="13">
        <f t="shared" si="150"/>
        <v>1.3175798244716865</v>
      </c>
      <c r="S226" s="14">
        <f t="shared" si="151"/>
        <v>856.72138385834182</v>
      </c>
      <c r="T226" s="13">
        <f t="shared" si="152"/>
        <v>1.3394374004511849</v>
      </c>
      <c r="U226" s="14">
        <f t="shared" si="153"/>
        <v>866.98926591013526</v>
      </c>
      <c r="V226" s="13">
        <f t="shared" si="154"/>
        <v>1.2753543819101882</v>
      </c>
      <c r="W226" s="14">
        <f t="shared" si="155"/>
        <v>841.99048143554796</v>
      </c>
      <c r="X226" s="13">
        <f t="shared" si="156"/>
        <v>1.2990636508763</v>
      </c>
      <c r="Y226" s="14">
        <f t="shared" si="157"/>
        <v>853.99646238201058</v>
      </c>
      <c r="Z226" s="13">
        <f t="shared" si="158"/>
        <v>1.3284559828356506</v>
      </c>
      <c r="AA226" s="14">
        <f t="shared" si="159"/>
        <v>867.98487027854685</v>
      </c>
      <c r="AB226" s="13">
        <f t="shared" si="160"/>
        <v>1.2680664446230085</v>
      </c>
      <c r="AC226" s="14">
        <f t="shared" si="161"/>
        <v>856.6622688666572</v>
      </c>
      <c r="AD226" s="13">
        <f t="shared" si="162"/>
        <v>1.2911613819695913</v>
      </c>
      <c r="AE226" s="14">
        <f t="shared" si="163"/>
        <v>868.2174196394111</v>
      </c>
      <c r="AF226" s="13">
        <f t="shared" si="164"/>
        <v>1.3198200044488453</v>
      </c>
      <c r="AG226" s="14">
        <f t="shared" si="165"/>
        <v>881.93499705711292</v>
      </c>
      <c r="AI226" s="13">
        <f t="shared" si="166"/>
        <v>1.2784988382346325</v>
      </c>
      <c r="AJ226" s="14">
        <f t="shared" si="167"/>
        <v>828.46845721534669</v>
      </c>
      <c r="AK226" s="13">
        <f t="shared" si="168"/>
        <v>1.2784988382346325</v>
      </c>
      <c r="AL226" s="14">
        <f t="shared" si="169"/>
        <v>828.80035730253599</v>
      </c>
      <c r="AM226" s="13">
        <f t="shared" si="170"/>
        <v>1.2784988382346325</v>
      </c>
      <c r="AN226" s="14">
        <f t="shared" si="171"/>
        <v>828.80035730253599</v>
      </c>
    </row>
    <row r="227" spans="16:40" x14ac:dyDescent="0.25">
      <c r="P227" s="13">
        <f t="shared" si="148"/>
        <v>1.2778541360146003</v>
      </c>
      <c r="Q227" s="14">
        <f t="shared" si="149"/>
        <v>837.57507430162275</v>
      </c>
      <c r="R227" s="13">
        <f t="shared" si="150"/>
        <v>1.3175798244716865</v>
      </c>
      <c r="S227" s="14">
        <f t="shared" si="151"/>
        <v>856.72138385834182</v>
      </c>
      <c r="T227" s="13">
        <f t="shared" si="152"/>
        <v>1.3394374004511849</v>
      </c>
      <c r="U227" s="14">
        <f t="shared" si="153"/>
        <v>866.98926591013526</v>
      </c>
      <c r="V227" s="13">
        <f t="shared" si="154"/>
        <v>1.2753543819101882</v>
      </c>
      <c r="W227" s="14">
        <f t="shared" si="155"/>
        <v>841.99048143554796</v>
      </c>
      <c r="X227" s="13">
        <f t="shared" si="156"/>
        <v>1.2990636508763</v>
      </c>
      <c r="Y227" s="14">
        <f t="shared" si="157"/>
        <v>853.99646238201058</v>
      </c>
      <c r="Z227" s="13">
        <f t="shared" si="158"/>
        <v>1.3284559828356506</v>
      </c>
      <c r="AA227" s="14">
        <f t="shared" si="159"/>
        <v>867.98487027854685</v>
      </c>
      <c r="AB227" s="13">
        <f t="shared" si="160"/>
        <v>1.2680664446230085</v>
      </c>
      <c r="AC227" s="14">
        <f t="shared" si="161"/>
        <v>856.6622688666572</v>
      </c>
      <c r="AD227" s="13">
        <f t="shared" si="162"/>
        <v>1.2911613819695913</v>
      </c>
      <c r="AE227" s="14">
        <f t="shared" si="163"/>
        <v>868.2174196394111</v>
      </c>
      <c r="AF227" s="13">
        <f t="shared" si="164"/>
        <v>1.3198200044488453</v>
      </c>
      <c r="AG227" s="14">
        <f t="shared" si="165"/>
        <v>881.93499705711292</v>
      </c>
      <c r="AI227" s="13">
        <f t="shared" si="166"/>
        <v>1.2784988382346325</v>
      </c>
      <c r="AJ227" s="14">
        <f t="shared" si="167"/>
        <v>828.46845721534669</v>
      </c>
      <c r="AK227" s="13">
        <f t="shared" si="168"/>
        <v>1.2784988382346325</v>
      </c>
      <c r="AL227" s="14">
        <f t="shared" si="169"/>
        <v>828.80035730253599</v>
      </c>
      <c r="AM227" s="13">
        <f t="shared" si="170"/>
        <v>1.2784988382346325</v>
      </c>
      <c r="AN227" s="14">
        <f t="shared" si="171"/>
        <v>828.80035730253599</v>
      </c>
    </row>
    <row r="228" spans="16:40" x14ac:dyDescent="0.25">
      <c r="P228" s="13">
        <f t="shared" si="148"/>
        <v>1.2778541360146003</v>
      </c>
      <c r="Q228" s="14">
        <f t="shared" si="149"/>
        <v>837.57507430162275</v>
      </c>
      <c r="R228" s="13">
        <f t="shared" si="150"/>
        <v>1.3175798244716865</v>
      </c>
      <c r="S228" s="14">
        <f t="shared" si="151"/>
        <v>856.72138385834182</v>
      </c>
      <c r="T228" s="13">
        <f t="shared" si="152"/>
        <v>1.3394374004511849</v>
      </c>
      <c r="U228" s="14">
        <f t="shared" si="153"/>
        <v>866.98926591013526</v>
      </c>
      <c r="V228" s="13">
        <f t="shared" si="154"/>
        <v>1.2753543819101882</v>
      </c>
      <c r="W228" s="14">
        <f t="shared" si="155"/>
        <v>841.99048143554796</v>
      </c>
      <c r="X228" s="13">
        <f t="shared" si="156"/>
        <v>1.2990636508763</v>
      </c>
      <c r="Y228" s="14">
        <f t="shared" si="157"/>
        <v>853.99646238201058</v>
      </c>
      <c r="Z228" s="13">
        <f t="shared" si="158"/>
        <v>1.3284559828356506</v>
      </c>
      <c r="AA228" s="14">
        <f t="shared" si="159"/>
        <v>867.98487027854685</v>
      </c>
      <c r="AB228" s="13">
        <f t="shared" si="160"/>
        <v>1.2680664446230085</v>
      </c>
      <c r="AC228" s="14">
        <f t="shared" si="161"/>
        <v>856.6622688666572</v>
      </c>
      <c r="AD228" s="13">
        <f t="shared" si="162"/>
        <v>1.2911613819695913</v>
      </c>
      <c r="AE228" s="14">
        <f t="shared" si="163"/>
        <v>868.2174196394111</v>
      </c>
      <c r="AF228" s="13">
        <f t="shared" si="164"/>
        <v>1.3198200044488453</v>
      </c>
      <c r="AG228" s="14">
        <f t="shared" si="165"/>
        <v>881.93499705711292</v>
      </c>
      <c r="AI228" s="13">
        <f t="shared" si="166"/>
        <v>1.2784988382346325</v>
      </c>
      <c r="AJ228" s="14">
        <f t="shared" si="167"/>
        <v>828.46845721534669</v>
      </c>
      <c r="AK228" s="13">
        <f t="shared" si="168"/>
        <v>1.2784988382346325</v>
      </c>
      <c r="AL228" s="14">
        <f t="shared" si="169"/>
        <v>828.80035730253599</v>
      </c>
      <c r="AM228" s="13">
        <f t="shared" si="170"/>
        <v>1.2784988382346325</v>
      </c>
      <c r="AN228" s="14">
        <f t="shared" si="171"/>
        <v>828.80035730253599</v>
      </c>
    </row>
    <row r="229" spans="16:40" x14ac:dyDescent="0.25">
      <c r="P229" s="13">
        <f t="shared" si="148"/>
        <v>1.2778541360146003</v>
      </c>
      <c r="Q229" s="14">
        <f t="shared" si="149"/>
        <v>837.57507430162275</v>
      </c>
      <c r="R229" s="13">
        <f t="shared" si="150"/>
        <v>1.3175798244716865</v>
      </c>
      <c r="S229" s="14">
        <f t="shared" si="151"/>
        <v>856.72138385834182</v>
      </c>
      <c r="T229" s="13">
        <f t="shared" si="152"/>
        <v>1.3394374004511849</v>
      </c>
      <c r="U229" s="14">
        <f t="shared" si="153"/>
        <v>866.98926591013526</v>
      </c>
      <c r="V229" s="13">
        <f t="shared" si="154"/>
        <v>1.2753543819101882</v>
      </c>
      <c r="W229" s="14">
        <f t="shared" si="155"/>
        <v>841.99048143554796</v>
      </c>
      <c r="X229" s="13">
        <f t="shared" si="156"/>
        <v>1.2990636508763</v>
      </c>
      <c r="Y229" s="14">
        <f t="shared" si="157"/>
        <v>853.99646238201058</v>
      </c>
      <c r="Z229" s="13">
        <f t="shared" si="158"/>
        <v>1.3284559828356506</v>
      </c>
      <c r="AA229" s="14">
        <f t="shared" si="159"/>
        <v>867.98487027854685</v>
      </c>
      <c r="AB229" s="13">
        <f t="shared" si="160"/>
        <v>1.2680664446230085</v>
      </c>
      <c r="AC229" s="14">
        <f t="shared" si="161"/>
        <v>856.6622688666572</v>
      </c>
      <c r="AD229" s="13">
        <f t="shared" si="162"/>
        <v>1.2911613819695913</v>
      </c>
      <c r="AE229" s="14">
        <f t="shared" si="163"/>
        <v>868.2174196394111</v>
      </c>
      <c r="AF229" s="13">
        <f t="shared" si="164"/>
        <v>1.3198200044488453</v>
      </c>
      <c r="AG229" s="14">
        <f t="shared" si="165"/>
        <v>881.93499705711292</v>
      </c>
      <c r="AI229" s="13">
        <f t="shared" si="166"/>
        <v>1.2784988382346325</v>
      </c>
      <c r="AJ229" s="14">
        <f t="shared" si="167"/>
        <v>828.46845721534669</v>
      </c>
      <c r="AK229" s="13">
        <f t="shared" si="168"/>
        <v>1.2784988382346325</v>
      </c>
      <c r="AL229" s="14">
        <f t="shared" si="169"/>
        <v>828.80035730253599</v>
      </c>
      <c r="AM229" s="13">
        <f t="shared" si="170"/>
        <v>1.2784988382346325</v>
      </c>
      <c r="AN229" s="14">
        <f t="shared" si="171"/>
        <v>828.80035730253599</v>
      </c>
    </row>
    <row r="230" spans="16:40" x14ac:dyDescent="0.25">
      <c r="P230" s="13">
        <f t="shared" si="148"/>
        <v>1.2778541360146003</v>
      </c>
      <c r="Q230" s="14">
        <f t="shared" si="149"/>
        <v>837.57507430162275</v>
      </c>
      <c r="R230" s="13">
        <f t="shared" si="150"/>
        <v>1.3175798244716865</v>
      </c>
      <c r="S230" s="14">
        <f t="shared" si="151"/>
        <v>856.72138385834182</v>
      </c>
      <c r="T230" s="13">
        <f t="shared" si="152"/>
        <v>1.3394374004511849</v>
      </c>
      <c r="U230" s="14">
        <f t="shared" si="153"/>
        <v>866.98926591013526</v>
      </c>
      <c r="V230" s="13">
        <f t="shared" si="154"/>
        <v>1.2753543819101882</v>
      </c>
      <c r="W230" s="14">
        <f t="shared" si="155"/>
        <v>841.99048143554796</v>
      </c>
      <c r="X230" s="13">
        <f t="shared" si="156"/>
        <v>1.2990636508763</v>
      </c>
      <c r="Y230" s="14">
        <f t="shared" si="157"/>
        <v>853.99646238201058</v>
      </c>
      <c r="Z230" s="13">
        <f t="shared" si="158"/>
        <v>1.3284559828356506</v>
      </c>
      <c r="AA230" s="14">
        <f t="shared" si="159"/>
        <v>867.98487027854685</v>
      </c>
      <c r="AB230" s="13">
        <f t="shared" si="160"/>
        <v>1.2680664446230085</v>
      </c>
      <c r="AC230" s="14">
        <f t="shared" si="161"/>
        <v>856.6622688666572</v>
      </c>
      <c r="AD230" s="13">
        <f t="shared" si="162"/>
        <v>1.2911613819695913</v>
      </c>
      <c r="AE230" s="14">
        <f t="shared" si="163"/>
        <v>868.2174196394111</v>
      </c>
      <c r="AF230" s="13">
        <f t="shared" si="164"/>
        <v>1.3198200044488453</v>
      </c>
      <c r="AG230" s="14">
        <f t="shared" si="165"/>
        <v>881.93499705711292</v>
      </c>
      <c r="AI230" s="13">
        <f t="shared" si="166"/>
        <v>1.2784988382346325</v>
      </c>
      <c r="AJ230" s="14">
        <f t="shared" si="167"/>
        <v>828.46845721534669</v>
      </c>
      <c r="AK230" s="13">
        <f t="shared" si="168"/>
        <v>1.2784988382346325</v>
      </c>
      <c r="AL230" s="14">
        <f t="shared" si="169"/>
        <v>828.80035730253599</v>
      </c>
      <c r="AM230" s="13">
        <f t="shared" si="170"/>
        <v>1.2784988382346325</v>
      </c>
      <c r="AN230" s="14">
        <f t="shared" si="171"/>
        <v>828.80035730253599</v>
      </c>
    </row>
    <row r="231" spans="16:40" x14ac:dyDescent="0.25">
      <c r="P231" s="13">
        <f t="shared" si="148"/>
        <v>1.2778541360146003</v>
      </c>
      <c r="Q231" s="14">
        <f t="shared" si="149"/>
        <v>837.57507430162275</v>
      </c>
      <c r="R231" s="13">
        <f t="shared" si="150"/>
        <v>1.3175798244716865</v>
      </c>
      <c r="S231" s="14">
        <f t="shared" si="151"/>
        <v>856.72138385834182</v>
      </c>
      <c r="T231" s="13">
        <f t="shared" si="152"/>
        <v>1.3394374004511849</v>
      </c>
      <c r="U231" s="14">
        <f t="shared" si="153"/>
        <v>866.98926591013526</v>
      </c>
      <c r="V231" s="13">
        <f t="shared" si="154"/>
        <v>1.2753543819101882</v>
      </c>
      <c r="W231" s="14">
        <f t="shared" si="155"/>
        <v>841.99048143554796</v>
      </c>
      <c r="X231" s="13">
        <f t="shared" si="156"/>
        <v>1.2990636508763</v>
      </c>
      <c r="Y231" s="14">
        <f t="shared" si="157"/>
        <v>853.99646238201058</v>
      </c>
      <c r="Z231" s="13">
        <f t="shared" si="158"/>
        <v>1.3284559828356506</v>
      </c>
      <c r="AA231" s="14">
        <f t="shared" si="159"/>
        <v>867.98487027854685</v>
      </c>
      <c r="AB231" s="13">
        <f t="shared" si="160"/>
        <v>1.2680664446230085</v>
      </c>
      <c r="AC231" s="14">
        <f t="shared" si="161"/>
        <v>856.6622688666572</v>
      </c>
      <c r="AD231" s="13">
        <f t="shared" si="162"/>
        <v>1.2911613819695913</v>
      </c>
      <c r="AE231" s="14">
        <f t="shared" si="163"/>
        <v>868.2174196394111</v>
      </c>
      <c r="AF231" s="13">
        <f t="shared" si="164"/>
        <v>1.3198200044488453</v>
      </c>
      <c r="AG231" s="14">
        <f t="shared" si="165"/>
        <v>881.93499705711292</v>
      </c>
      <c r="AI231" s="13">
        <f t="shared" si="166"/>
        <v>1.2784988382346325</v>
      </c>
      <c r="AJ231" s="14">
        <f t="shared" si="167"/>
        <v>828.46845721534669</v>
      </c>
      <c r="AK231" s="13">
        <f t="shared" si="168"/>
        <v>1.2784988382346325</v>
      </c>
      <c r="AL231" s="14">
        <f t="shared" si="169"/>
        <v>828.80035730253599</v>
      </c>
      <c r="AM231" s="13">
        <f t="shared" si="170"/>
        <v>1.2784988382346325</v>
      </c>
      <c r="AN231" s="14">
        <f t="shared" si="171"/>
        <v>828.80035730253599</v>
      </c>
    </row>
    <row r="232" spans="16:40" x14ac:dyDescent="0.25">
      <c r="P232" s="13">
        <f t="shared" si="148"/>
        <v>1.2778541360146003</v>
      </c>
      <c r="Q232" s="14">
        <f t="shared" si="149"/>
        <v>837.57507430162275</v>
      </c>
      <c r="R232" s="13">
        <f t="shared" si="150"/>
        <v>1.3175798244716865</v>
      </c>
      <c r="S232" s="14">
        <f t="shared" si="151"/>
        <v>856.72138385834182</v>
      </c>
      <c r="T232" s="13">
        <f t="shared" si="152"/>
        <v>1.3394374004511849</v>
      </c>
      <c r="U232" s="14">
        <f t="shared" si="153"/>
        <v>866.98926591013526</v>
      </c>
      <c r="V232" s="13">
        <f t="shared" si="154"/>
        <v>1.2753543819101882</v>
      </c>
      <c r="W232" s="14">
        <f t="shared" si="155"/>
        <v>841.99048143554796</v>
      </c>
      <c r="X232" s="13">
        <f t="shared" si="156"/>
        <v>1.2990636508763</v>
      </c>
      <c r="Y232" s="14">
        <f t="shared" si="157"/>
        <v>853.99646238201058</v>
      </c>
      <c r="Z232" s="13">
        <f t="shared" si="158"/>
        <v>1.3284559828356506</v>
      </c>
      <c r="AA232" s="14">
        <f t="shared" si="159"/>
        <v>867.98487027854685</v>
      </c>
      <c r="AB232" s="13">
        <f t="shared" si="160"/>
        <v>1.2680664446230085</v>
      </c>
      <c r="AC232" s="14">
        <f t="shared" si="161"/>
        <v>856.6622688666572</v>
      </c>
      <c r="AD232" s="13">
        <f t="shared" si="162"/>
        <v>1.2911613819695913</v>
      </c>
      <c r="AE232" s="14">
        <f t="shared" si="163"/>
        <v>868.2174196394111</v>
      </c>
      <c r="AF232" s="13">
        <f t="shared" si="164"/>
        <v>1.3198200044488453</v>
      </c>
      <c r="AG232" s="14">
        <f t="shared" si="165"/>
        <v>881.93499705711292</v>
      </c>
      <c r="AI232" s="13">
        <f t="shared" si="166"/>
        <v>1.2784988382346325</v>
      </c>
      <c r="AJ232" s="14">
        <f t="shared" si="167"/>
        <v>828.46845721534669</v>
      </c>
      <c r="AK232" s="13">
        <f t="shared" si="168"/>
        <v>1.2784988382346325</v>
      </c>
      <c r="AL232" s="14">
        <f t="shared" si="169"/>
        <v>828.80035730253599</v>
      </c>
      <c r="AM232" s="13">
        <f t="shared" si="170"/>
        <v>1.2784988382346325</v>
      </c>
      <c r="AN232" s="14">
        <f t="shared" si="171"/>
        <v>828.80035730253599</v>
      </c>
    </row>
    <row r="233" spans="16:40" x14ac:dyDescent="0.25">
      <c r="P233" s="13">
        <f t="shared" si="148"/>
        <v>1.2778541360146003</v>
      </c>
      <c r="Q233" s="14">
        <f t="shared" si="149"/>
        <v>837.57507430162275</v>
      </c>
      <c r="R233" s="13">
        <f t="shared" si="150"/>
        <v>1.3175798244716865</v>
      </c>
      <c r="S233" s="14">
        <f t="shared" si="151"/>
        <v>856.72138385834182</v>
      </c>
      <c r="T233" s="13">
        <f t="shared" si="152"/>
        <v>1.3394374004511849</v>
      </c>
      <c r="U233" s="14">
        <f t="shared" si="153"/>
        <v>866.98926591013526</v>
      </c>
      <c r="V233" s="13">
        <f t="shared" si="154"/>
        <v>1.2753543819101882</v>
      </c>
      <c r="W233" s="14">
        <f t="shared" si="155"/>
        <v>841.99048143554796</v>
      </c>
      <c r="X233" s="13">
        <f t="shared" si="156"/>
        <v>1.2990636508763</v>
      </c>
      <c r="Y233" s="14">
        <f t="shared" si="157"/>
        <v>853.99646238201058</v>
      </c>
      <c r="Z233" s="13">
        <f t="shared" si="158"/>
        <v>1.3284559828356506</v>
      </c>
      <c r="AA233" s="14">
        <f t="shared" si="159"/>
        <v>867.98487027854685</v>
      </c>
      <c r="AB233" s="13">
        <f t="shared" si="160"/>
        <v>1.2680664446230085</v>
      </c>
      <c r="AC233" s="14">
        <f t="shared" si="161"/>
        <v>856.6622688666572</v>
      </c>
      <c r="AD233" s="13">
        <f t="shared" si="162"/>
        <v>1.2911613819695913</v>
      </c>
      <c r="AE233" s="14">
        <f t="shared" si="163"/>
        <v>868.2174196394111</v>
      </c>
      <c r="AF233" s="13">
        <f t="shared" si="164"/>
        <v>1.3198200044488453</v>
      </c>
      <c r="AG233" s="14">
        <f t="shared" si="165"/>
        <v>881.93499705711292</v>
      </c>
      <c r="AI233" s="13">
        <f t="shared" si="166"/>
        <v>1.2784988382346325</v>
      </c>
      <c r="AJ233" s="14">
        <f t="shared" si="167"/>
        <v>828.46845721534669</v>
      </c>
      <c r="AK233" s="13">
        <f t="shared" si="168"/>
        <v>1.2784988382346325</v>
      </c>
      <c r="AL233" s="14">
        <f t="shared" si="169"/>
        <v>828.80035730253599</v>
      </c>
      <c r="AM233" s="13">
        <f t="shared" si="170"/>
        <v>1.2784988382346325</v>
      </c>
      <c r="AN233" s="14">
        <f t="shared" si="171"/>
        <v>828.80035730253599</v>
      </c>
    </row>
    <row r="234" spans="16:40" x14ac:dyDescent="0.25">
      <c r="P234" s="13">
        <f t="shared" si="148"/>
        <v>1.2778541360146003</v>
      </c>
      <c r="Q234" s="14">
        <f t="shared" si="149"/>
        <v>837.57507430162275</v>
      </c>
      <c r="R234" s="13">
        <f t="shared" si="150"/>
        <v>1.3175798244716865</v>
      </c>
      <c r="S234" s="14">
        <f t="shared" si="151"/>
        <v>856.72138385834182</v>
      </c>
      <c r="T234" s="13">
        <f t="shared" si="152"/>
        <v>1.3394374004511849</v>
      </c>
      <c r="U234" s="14">
        <f t="shared" si="153"/>
        <v>866.98926591013526</v>
      </c>
      <c r="V234" s="13">
        <f t="shared" si="154"/>
        <v>1.2753543819101882</v>
      </c>
      <c r="W234" s="14">
        <f t="shared" si="155"/>
        <v>841.99048143554796</v>
      </c>
      <c r="X234" s="13">
        <f t="shared" si="156"/>
        <v>1.2990636508763</v>
      </c>
      <c r="Y234" s="14">
        <f t="shared" si="157"/>
        <v>853.99646238201058</v>
      </c>
      <c r="Z234" s="13">
        <f t="shared" si="158"/>
        <v>1.3284559828356506</v>
      </c>
      <c r="AA234" s="14">
        <f t="shared" si="159"/>
        <v>867.98487027854685</v>
      </c>
      <c r="AB234" s="13">
        <f t="shared" si="160"/>
        <v>1.2680664446230085</v>
      </c>
      <c r="AC234" s="14">
        <f t="shared" si="161"/>
        <v>856.6622688666572</v>
      </c>
      <c r="AD234" s="13">
        <f t="shared" si="162"/>
        <v>1.2911613819695913</v>
      </c>
      <c r="AE234" s="14">
        <f t="shared" si="163"/>
        <v>868.2174196394111</v>
      </c>
      <c r="AF234" s="13">
        <f t="shared" si="164"/>
        <v>1.3198200044488453</v>
      </c>
      <c r="AG234" s="14">
        <f t="shared" si="165"/>
        <v>881.93499705711292</v>
      </c>
      <c r="AI234" s="13">
        <f t="shared" si="166"/>
        <v>1.2784988382346325</v>
      </c>
      <c r="AJ234" s="14">
        <f t="shared" si="167"/>
        <v>828.46845721534669</v>
      </c>
      <c r="AK234" s="13">
        <f t="shared" si="168"/>
        <v>1.2784988382346325</v>
      </c>
      <c r="AL234" s="14">
        <f t="shared" si="169"/>
        <v>828.80035730253599</v>
      </c>
      <c r="AM234" s="13">
        <f t="shared" si="170"/>
        <v>1.2784988382346325</v>
      </c>
      <c r="AN234" s="14">
        <f t="shared" si="171"/>
        <v>828.80035730253599</v>
      </c>
    </row>
    <row r="235" spans="16:40" x14ac:dyDescent="0.25">
      <c r="P235" s="13">
        <f t="shared" si="148"/>
        <v>1.2778541360146003</v>
      </c>
      <c r="Q235" s="14">
        <f t="shared" si="149"/>
        <v>837.57507430162275</v>
      </c>
      <c r="R235" s="13">
        <f t="shared" si="150"/>
        <v>1.3175798244716865</v>
      </c>
      <c r="S235" s="14">
        <f t="shared" si="151"/>
        <v>856.72138385834182</v>
      </c>
      <c r="T235" s="13">
        <f t="shared" si="152"/>
        <v>1.3394374004511849</v>
      </c>
      <c r="U235" s="14">
        <f t="shared" si="153"/>
        <v>866.98926591013526</v>
      </c>
      <c r="V235" s="13">
        <f t="shared" si="154"/>
        <v>1.2753543819101882</v>
      </c>
      <c r="W235" s="14">
        <f t="shared" si="155"/>
        <v>841.99048143554796</v>
      </c>
      <c r="X235" s="13">
        <f t="shared" si="156"/>
        <v>1.2990636508763</v>
      </c>
      <c r="Y235" s="14">
        <f t="shared" si="157"/>
        <v>853.99646238201058</v>
      </c>
      <c r="Z235" s="13">
        <f t="shared" si="158"/>
        <v>1.3284559828356506</v>
      </c>
      <c r="AA235" s="14">
        <f t="shared" si="159"/>
        <v>867.98487027854685</v>
      </c>
      <c r="AB235" s="13">
        <f t="shared" si="160"/>
        <v>1.2680664446230085</v>
      </c>
      <c r="AC235" s="14">
        <f t="shared" si="161"/>
        <v>856.6622688666572</v>
      </c>
      <c r="AD235" s="13">
        <f t="shared" si="162"/>
        <v>1.2911613819695913</v>
      </c>
      <c r="AE235" s="14">
        <f t="shared" si="163"/>
        <v>868.2174196394111</v>
      </c>
      <c r="AF235" s="13">
        <f t="shared" si="164"/>
        <v>1.3198200044488453</v>
      </c>
      <c r="AG235" s="14">
        <f t="shared" si="165"/>
        <v>881.93499705711292</v>
      </c>
      <c r="AI235" s="13">
        <f t="shared" si="166"/>
        <v>1.2784988382346325</v>
      </c>
      <c r="AJ235" s="14">
        <f t="shared" si="167"/>
        <v>828.46845721534669</v>
      </c>
      <c r="AK235" s="13">
        <f t="shared" si="168"/>
        <v>1.2784988382346325</v>
      </c>
      <c r="AL235" s="14">
        <f t="shared" si="169"/>
        <v>828.80035730253599</v>
      </c>
      <c r="AM235" s="13">
        <f t="shared" si="170"/>
        <v>1.2784988382346325</v>
      </c>
      <c r="AN235" s="14">
        <f t="shared" si="171"/>
        <v>828.80035730253599</v>
      </c>
    </row>
    <row r="236" spans="16:40" x14ac:dyDescent="0.25">
      <c r="P236" s="13">
        <f t="shared" si="148"/>
        <v>1.2778541360146003</v>
      </c>
      <c r="Q236" s="14">
        <f t="shared" si="149"/>
        <v>837.57507430162275</v>
      </c>
      <c r="R236" s="13">
        <f t="shared" si="150"/>
        <v>1.3175798244716865</v>
      </c>
      <c r="S236" s="14">
        <f t="shared" si="151"/>
        <v>856.72138385834182</v>
      </c>
      <c r="T236" s="13">
        <f t="shared" si="152"/>
        <v>1.3394374004511849</v>
      </c>
      <c r="U236" s="14">
        <f t="shared" si="153"/>
        <v>866.98926591013526</v>
      </c>
      <c r="V236" s="13">
        <f t="shared" si="154"/>
        <v>1.2753543819101882</v>
      </c>
      <c r="W236" s="14">
        <f t="shared" si="155"/>
        <v>841.99048143554796</v>
      </c>
      <c r="X236" s="13">
        <f t="shared" si="156"/>
        <v>1.2990636508763</v>
      </c>
      <c r="Y236" s="14">
        <f t="shared" si="157"/>
        <v>853.99646238201058</v>
      </c>
      <c r="Z236" s="13">
        <f t="shared" si="158"/>
        <v>1.3284559828356506</v>
      </c>
      <c r="AA236" s="14">
        <f t="shared" si="159"/>
        <v>867.98487027854685</v>
      </c>
      <c r="AB236" s="13">
        <f t="shared" si="160"/>
        <v>1.2680664446230085</v>
      </c>
      <c r="AC236" s="14">
        <f t="shared" si="161"/>
        <v>856.6622688666572</v>
      </c>
      <c r="AD236" s="13">
        <f t="shared" si="162"/>
        <v>1.2911613819695913</v>
      </c>
      <c r="AE236" s="14">
        <f t="shared" si="163"/>
        <v>868.2174196394111</v>
      </c>
      <c r="AF236" s="13">
        <f t="shared" si="164"/>
        <v>1.3198200044488453</v>
      </c>
      <c r="AG236" s="14">
        <f t="shared" si="165"/>
        <v>881.93499705711292</v>
      </c>
      <c r="AI236" s="13">
        <f t="shared" si="166"/>
        <v>1.2784988382346325</v>
      </c>
      <c r="AJ236" s="14">
        <f t="shared" si="167"/>
        <v>828.46845721534669</v>
      </c>
      <c r="AK236" s="13">
        <f t="shared" si="168"/>
        <v>1.2784988382346325</v>
      </c>
      <c r="AL236" s="14">
        <f t="shared" si="169"/>
        <v>828.80035730253599</v>
      </c>
      <c r="AM236" s="13">
        <f t="shared" si="170"/>
        <v>1.2784988382346325</v>
      </c>
      <c r="AN236" s="14">
        <f t="shared" si="171"/>
        <v>828.80035730253599</v>
      </c>
    </row>
    <row r="237" spans="16:40" x14ac:dyDescent="0.25">
      <c r="P237" s="13">
        <f t="shared" si="148"/>
        <v>1.2778541360146003</v>
      </c>
      <c r="Q237" s="14">
        <f t="shared" si="149"/>
        <v>837.57507430162275</v>
      </c>
      <c r="R237" s="13">
        <f t="shared" si="150"/>
        <v>1.3175798244716865</v>
      </c>
      <c r="S237" s="14">
        <f t="shared" si="151"/>
        <v>856.72138385834182</v>
      </c>
      <c r="T237" s="13">
        <f t="shared" si="152"/>
        <v>1.3394374004511849</v>
      </c>
      <c r="U237" s="14">
        <f t="shared" si="153"/>
        <v>866.98926591013526</v>
      </c>
      <c r="V237" s="13">
        <f t="shared" si="154"/>
        <v>1.2753543819101882</v>
      </c>
      <c r="W237" s="14">
        <f t="shared" si="155"/>
        <v>841.99048143554796</v>
      </c>
      <c r="X237" s="13">
        <f t="shared" si="156"/>
        <v>1.2990636508763</v>
      </c>
      <c r="Y237" s="14">
        <f t="shared" si="157"/>
        <v>853.99646238201058</v>
      </c>
      <c r="Z237" s="13">
        <f t="shared" si="158"/>
        <v>1.3284559828356506</v>
      </c>
      <c r="AA237" s="14">
        <f t="shared" si="159"/>
        <v>867.98487027854685</v>
      </c>
      <c r="AB237" s="13">
        <f t="shared" si="160"/>
        <v>1.2680664446230085</v>
      </c>
      <c r="AC237" s="14">
        <f t="shared" si="161"/>
        <v>856.6622688666572</v>
      </c>
      <c r="AD237" s="13">
        <f t="shared" si="162"/>
        <v>1.2911613819695913</v>
      </c>
      <c r="AE237" s="14">
        <f t="shared" si="163"/>
        <v>868.2174196394111</v>
      </c>
      <c r="AF237" s="13">
        <f t="shared" si="164"/>
        <v>1.3198200044488453</v>
      </c>
      <c r="AG237" s="14">
        <f t="shared" si="165"/>
        <v>881.93499705711292</v>
      </c>
      <c r="AI237" s="13">
        <f t="shared" si="166"/>
        <v>1.2784988382346325</v>
      </c>
      <c r="AJ237" s="14">
        <f t="shared" si="167"/>
        <v>828.46845721534669</v>
      </c>
      <c r="AK237" s="13">
        <f t="shared" si="168"/>
        <v>1.2784988382346325</v>
      </c>
      <c r="AL237" s="14">
        <f t="shared" si="169"/>
        <v>828.80035730253599</v>
      </c>
      <c r="AM237" s="13">
        <f t="shared" si="170"/>
        <v>1.2784988382346325</v>
      </c>
      <c r="AN237" s="14">
        <f t="shared" si="171"/>
        <v>828.80035730253599</v>
      </c>
    </row>
    <row r="238" spans="16:40" x14ac:dyDescent="0.25">
      <c r="P238" s="13">
        <f t="shared" si="148"/>
        <v>1.2778541360146003</v>
      </c>
      <c r="Q238" s="14">
        <f t="shared" si="149"/>
        <v>837.57507430162275</v>
      </c>
      <c r="R238" s="13">
        <f t="shared" si="150"/>
        <v>1.3175798244716865</v>
      </c>
      <c r="S238" s="14">
        <f t="shared" si="151"/>
        <v>856.72138385834182</v>
      </c>
      <c r="T238" s="13">
        <f t="shared" si="152"/>
        <v>1.3394374004511849</v>
      </c>
      <c r="U238" s="14">
        <f t="shared" si="153"/>
        <v>866.98926591013526</v>
      </c>
      <c r="V238" s="13">
        <f t="shared" si="154"/>
        <v>1.2753543819101882</v>
      </c>
      <c r="W238" s="14">
        <f t="shared" si="155"/>
        <v>841.99048143554796</v>
      </c>
      <c r="X238" s="13">
        <f t="shared" si="156"/>
        <v>1.2990636508763</v>
      </c>
      <c r="Y238" s="14">
        <f t="shared" si="157"/>
        <v>853.99646238201058</v>
      </c>
      <c r="Z238" s="13">
        <f t="shared" si="158"/>
        <v>1.3284559828356506</v>
      </c>
      <c r="AA238" s="14">
        <f t="shared" si="159"/>
        <v>867.98487027854685</v>
      </c>
      <c r="AB238" s="13">
        <f t="shared" si="160"/>
        <v>1.2680664446230085</v>
      </c>
      <c r="AC238" s="14">
        <f t="shared" si="161"/>
        <v>856.6622688666572</v>
      </c>
      <c r="AD238" s="13">
        <f t="shared" si="162"/>
        <v>1.2911613819695913</v>
      </c>
      <c r="AE238" s="14">
        <f t="shared" si="163"/>
        <v>868.2174196394111</v>
      </c>
      <c r="AF238" s="13">
        <f t="shared" si="164"/>
        <v>1.3198200044488453</v>
      </c>
      <c r="AG238" s="14">
        <f t="shared" si="165"/>
        <v>881.93499705711292</v>
      </c>
      <c r="AI238" s="13">
        <f t="shared" si="166"/>
        <v>1.2784988382346325</v>
      </c>
      <c r="AJ238" s="14">
        <f t="shared" si="167"/>
        <v>828.46845721534669</v>
      </c>
      <c r="AK238" s="13">
        <f t="shared" si="168"/>
        <v>1.2784988382346325</v>
      </c>
      <c r="AL238" s="14">
        <f t="shared" si="169"/>
        <v>828.80035730253599</v>
      </c>
      <c r="AM238" s="13">
        <f t="shared" si="170"/>
        <v>1.2784988382346325</v>
      </c>
      <c r="AN238" s="14">
        <f t="shared" si="171"/>
        <v>828.80035730253599</v>
      </c>
    </row>
    <row r="239" spans="16:40" x14ac:dyDescent="0.25">
      <c r="P239" s="13">
        <f t="shared" si="148"/>
        <v>1.2778541360146003</v>
      </c>
      <c r="Q239" s="14">
        <f t="shared" si="149"/>
        <v>837.57507430162275</v>
      </c>
      <c r="R239" s="13">
        <f t="shared" si="150"/>
        <v>1.3175798244716865</v>
      </c>
      <c r="S239" s="14">
        <f t="shared" si="151"/>
        <v>856.72138385834182</v>
      </c>
      <c r="T239" s="13">
        <f t="shared" si="152"/>
        <v>1.3394374004511849</v>
      </c>
      <c r="U239" s="14">
        <f t="shared" si="153"/>
        <v>866.98926591013526</v>
      </c>
      <c r="V239" s="13">
        <f t="shared" si="154"/>
        <v>1.2753543819101882</v>
      </c>
      <c r="W239" s="14">
        <f t="shared" si="155"/>
        <v>841.99048143554796</v>
      </c>
      <c r="X239" s="13">
        <f t="shared" si="156"/>
        <v>1.2990636508763</v>
      </c>
      <c r="Y239" s="14">
        <f t="shared" si="157"/>
        <v>853.99646238201058</v>
      </c>
      <c r="Z239" s="13">
        <f t="shared" si="158"/>
        <v>1.3284559828356506</v>
      </c>
      <c r="AA239" s="14">
        <f t="shared" si="159"/>
        <v>867.98487027854685</v>
      </c>
      <c r="AB239" s="13">
        <f t="shared" si="160"/>
        <v>1.2680664446230085</v>
      </c>
      <c r="AC239" s="14">
        <f t="shared" si="161"/>
        <v>856.6622688666572</v>
      </c>
      <c r="AD239" s="13">
        <f t="shared" si="162"/>
        <v>1.2911613819695913</v>
      </c>
      <c r="AE239" s="14">
        <f t="shared" si="163"/>
        <v>868.2174196394111</v>
      </c>
      <c r="AF239" s="13">
        <f t="shared" si="164"/>
        <v>1.3198200044488453</v>
      </c>
      <c r="AG239" s="14">
        <f t="shared" si="165"/>
        <v>881.93499705711292</v>
      </c>
      <c r="AI239" s="13">
        <f t="shared" si="166"/>
        <v>1.2784988382346325</v>
      </c>
      <c r="AJ239" s="14">
        <f t="shared" si="167"/>
        <v>828.46845721534669</v>
      </c>
      <c r="AK239" s="13">
        <f t="shared" si="168"/>
        <v>1.2784988382346325</v>
      </c>
      <c r="AL239" s="14">
        <f t="shared" si="169"/>
        <v>828.80035730253599</v>
      </c>
      <c r="AM239" s="13">
        <f t="shared" si="170"/>
        <v>1.2784988382346325</v>
      </c>
      <c r="AN239" s="14">
        <f t="shared" si="171"/>
        <v>828.80035730253599</v>
      </c>
    </row>
    <row r="240" spans="16:40" x14ac:dyDescent="0.25">
      <c r="P240" s="13">
        <f t="shared" si="148"/>
        <v>1.2778541360146003</v>
      </c>
      <c r="Q240" s="14">
        <f t="shared" si="149"/>
        <v>837.57507430162275</v>
      </c>
      <c r="R240" s="13">
        <f t="shared" si="150"/>
        <v>1.3175798244716865</v>
      </c>
      <c r="S240" s="14">
        <f t="shared" si="151"/>
        <v>856.72138385834182</v>
      </c>
      <c r="T240" s="13">
        <f t="shared" si="152"/>
        <v>1.3394374004511849</v>
      </c>
      <c r="U240" s="14">
        <f t="shared" si="153"/>
        <v>866.98926591013526</v>
      </c>
      <c r="V240" s="13">
        <f t="shared" si="154"/>
        <v>1.2753543819101882</v>
      </c>
      <c r="W240" s="14">
        <f t="shared" si="155"/>
        <v>841.99048143554796</v>
      </c>
      <c r="X240" s="13">
        <f t="shared" si="156"/>
        <v>1.2990636508763</v>
      </c>
      <c r="Y240" s="14">
        <f t="shared" si="157"/>
        <v>853.99646238201058</v>
      </c>
      <c r="Z240" s="13">
        <f t="shared" si="158"/>
        <v>1.3284559828356506</v>
      </c>
      <c r="AA240" s="14">
        <f t="shared" si="159"/>
        <v>867.98487027854685</v>
      </c>
      <c r="AB240" s="13">
        <f t="shared" si="160"/>
        <v>1.2680664446230085</v>
      </c>
      <c r="AC240" s="14">
        <f t="shared" si="161"/>
        <v>856.6622688666572</v>
      </c>
      <c r="AD240" s="13">
        <f t="shared" si="162"/>
        <v>1.2911613819695913</v>
      </c>
      <c r="AE240" s="14">
        <f t="shared" si="163"/>
        <v>868.2174196394111</v>
      </c>
      <c r="AF240" s="13">
        <f t="shared" si="164"/>
        <v>1.3198200044488453</v>
      </c>
      <c r="AG240" s="14">
        <f t="shared" si="165"/>
        <v>881.93499705711292</v>
      </c>
      <c r="AI240" s="13">
        <f t="shared" si="166"/>
        <v>1.2784988382346325</v>
      </c>
      <c r="AJ240" s="14">
        <f t="shared" si="167"/>
        <v>828.46845721534669</v>
      </c>
      <c r="AK240" s="13">
        <f t="shared" si="168"/>
        <v>1.2784988382346325</v>
      </c>
      <c r="AL240" s="14">
        <f t="shared" si="169"/>
        <v>828.80035730253599</v>
      </c>
      <c r="AM240" s="13">
        <f t="shared" si="170"/>
        <v>1.2784988382346325</v>
      </c>
      <c r="AN240" s="14">
        <f t="shared" si="171"/>
        <v>828.80035730253599</v>
      </c>
    </row>
    <row r="241" spans="16:40" x14ac:dyDescent="0.25">
      <c r="P241" s="13">
        <f t="shared" si="148"/>
        <v>1.2778541360146003</v>
      </c>
      <c r="Q241" s="14">
        <f t="shared" si="149"/>
        <v>837.57507430162275</v>
      </c>
      <c r="R241" s="13">
        <f t="shared" si="150"/>
        <v>1.3175798244716865</v>
      </c>
      <c r="S241" s="14">
        <f t="shared" si="151"/>
        <v>856.72138385834182</v>
      </c>
      <c r="T241" s="13">
        <f t="shared" si="152"/>
        <v>1.3394374004511849</v>
      </c>
      <c r="U241" s="14">
        <f t="shared" si="153"/>
        <v>866.98926591013526</v>
      </c>
      <c r="V241" s="13">
        <f t="shared" si="154"/>
        <v>1.2753543819101882</v>
      </c>
      <c r="W241" s="14">
        <f t="shared" si="155"/>
        <v>841.99048143554796</v>
      </c>
      <c r="X241" s="13">
        <f t="shared" si="156"/>
        <v>1.2990636508763</v>
      </c>
      <c r="Y241" s="14">
        <f t="shared" si="157"/>
        <v>853.99646238201058</v>
      </c>
      <c r="Z241" s="13">
        <f t="shared" si="158"/>
        <v>1.3284559828356506</v>
      </c>
      <c r="AA241" s="14">
        <f t="shared" si="159"/>
        <v>867.98487027854685</v>
      </c>
      <c r="AB241" s="13">
        <f t="shared" si="160"/>
        <v>1.2680664446230085</v>
      </c>
      <c r="AC241" s="14">
        <f t="shared" si="161"/>
        <v>856.6622688666572</v>
      </c>
      <c r="AD241" s="13">
        <f t="shared" si="162"/>
        <v>1.2911613819695913</v>
      </c>
      <c r="AE241" s="14">
        <f t="shared" si="163"/>
        <v>868.2174196394111</v>
      </c>
      <c r="AF241" s="13">
        <f t="shared" si="164"/>
        <v>1.3198200044488453</v>
      </c>
      <c r="AG241" s="14">
        <f t="shared" si="165"/>
        <v>881.93499705711292</v>
      </c>
      <c r="AI241" s="13">
        <f t="shared" si="166"/>
        <v>1.2784988382346325</v>
      </c>
      <c r="AJ241" s="14">
        <f t="shared" si="167"/>
        <v>828.46845721534669</v>
      </c>
      <c r="AK241" s="13">
        <f t="shared" si="168"/>
        <v>1.2784988382346325</v>
      </c>
      <c r="AL241" s="14">
        <f t="shared" si="169"/>
        <v>828.80035730253599</v>
      </c>
      <c r="AM241" s="13">
        <f t="shared" si="170"/>
        <v>1.2784988382346325</v>
      </c>
      <c r="AN241" s="14">
        <f t="shared" si="171"/>
        <v>828.80035730253599</v>
      </c>
    </row>
    <row r="242" spans="16:40" x14ac:dyDescent="0.25">
      <c r="P242" s="13">
        <f t="shared" si="148"/>
        <v>1.2778541360146003</v>
      </c>
      <c r="Q242" s="14">
        <f t="shared" si="149"/>
        <v>837.57507430162275</v>
      </c>
      <c r="R242" s="13">
        <f t="shared" si="150"/>
        <v>1.3175798244716865</v>
      </c>
      <c r="S242" s="14">
        <f t="shared" si="151"/>
        <v>856.72138385834182</v>
      </c>
      <c r="T242" s="13">
        <f t="shared" si="152"/>
        <v>1.3394374004511849</v>
      </c>
      <c r="U242" s="14">
        <f t="shared" si="153"/>
        <v>866.98926591013526</v>
      </c>
      <c r="V242" s="13">
        <f t="shared" si="154"/>
        <v>1.2753543819101882</v>
      </c>
      <c r="W242" s="14">
        <f t="shared" si="155"/>
        <v>841.99048143554796</v>
      </c>
      <c r="X242" s="13">
        <f t="shared" si="156"/>
        <v>1.2990636508763</v>
      </c>
      <c r="Y242" s="14">
        <f t="shared" si="157"/>
        <v>853.99646238201058</v>
      </c>
      <c r="Z242" s="13">
        <f t="shared" si="158"/>
        <v>1.3284559828356506</v>
      </c>
      <c r="AA242" s="14">
        <f t="shared" si="159"/>
        <v>867.98487027854685</v>
      </c>
      <c r="AB242" s="13">
        <f t="shared" si="160"/>
        <v>1.2680664446230085</v>
      </c>
      <c r="AC242" s="14">
        <f t="shared" si="161"/>
        <v>856.6622688666572</v>
      </c>
      <c r="AD242" s="13">
        <f t="shared" si="162"/>
        <v>1.2911613819695913</v>
      </c>
      <c r="AE242" s="14">
        <f t="shared" si="163"/>
        <v>868.2174196394111</v>
      </c>
      <c r="AF242" s="13">
        <f t="shared" si="164"/>
        <v>1.3198200044488453</v>
      </c>
      <c r="AG242" s="14">
        <f t="shared" si="165"/>
        <v>881.93499705711292</v>
      </c>
      <c r="AI242" s="13">
        <f t="shared" si="166"/>
        <v>1.2784988382346325</v>
      </c>
      <c r="AJ242" s="14">
        <f t="shared" si="167"/>
        <v>828.46845721534669</v>
      </c>
      <c r="AK242" s="13">
        <f t="shared" si="168"/>
        <v>1.2784988382346325</v>
      </c>
      <c r="AL242" s="14">
        <f t="shared" si="169"/>
        <v>828.80035730253599</v>
      </c>
      <c r="AM242" s="13">
        <f t="shared" si="170"/>
        <v>1.2784988382346325</v>
      </c>
      <c r="AN242" s="14">
        <f t="shared" si="171"/>
        <v>828.80035730253599</v>
      </c>
    </row>
    <row r="243" spans="16:40" x14ac:dyDescent="0.25">
      <c r="P243" s="13">
        <f t="shared" si="148"/>
        <v>1.2778541360146003</v>
      </c>
      <c r="Q243" s="14">
        <f t="shared" si="149"/>
        <v>837.57507430162275</v>
      </c>
      <c r="R243" s="13">
        <f t="shared" si="150"/>
        <v>1.3175798244716865</v>
      </c>
      <c r="S243" s="14">
        <f t="shared" si="151"/>
        <v>856.72138385834182</v>
      </c>
      <c r="T243" s="13">
        <f t="shared" si="152"/>
        <v>1.3394374004511849</v>
      </c>
      <c r="U243" s="14">
        <f t="shared" si="153"/>
        <v>866.98926591013526</v>
      </c>
      <c r="V243" s="13">
        <f t="shared" si="154"/>
        <v>1.2753543819101882</v>
      </c>
      <c r="W243" s="14">
        <f t="shared" si="155"/>
        <v>841.99048143554796</v>
      </c>
      <c r="X243" s="13">
        <f t="shared" si="156"/>
        <v>1.2990636508763</v>
      </c>
      <c r="Y243" s="14">
        <f t="shared" si="157"/>
        <v>853.99646238201058</v>
      </c>
      <c r="Z243" s="13">
        <f t="shared" si="158"/>
        <v>1.3284559828356506</v>
      </c>
      <c r="AA243" s="14">
        <f t="shared" si="159"/>
        <v>867.98487027854685</v>
      </c>
      <c r="AB243" s="13">
        <f t="shared" si="160"/>
        <v>1.2680664446230085</v>
      </c>
      <c r="AC243" s="14">
        <f t="shared" si="161"/>
        <v>856.6622688666572</v>
      </c>
      <c r="AD243" s="13">
        <f t="shared" si="162"/>
        <v>1.2911613819695913</v>
      </c>
      <c r="AE243" s="14">
        <f t="shared" si="163"/>
        <v>868.2174196394111</v>
      </c>
      <c r="AF243" s="13">
        <f t="shared" si="164"/>
        <v>1.3198200044488453</v>
      </c>
      <c r="AG243" s="14">
        <f t="shared" si="165"/>
        <v>881.93499705711292</v>
      </c>
      <c r="AI243" s="13">
        <f t="shared" si="166"/>
        <v>1.2784988382346325</v>
      </c>
      <c r="AJ243" s="14">
        <f t="shared" si="167"/>
        <v>828.46845721534669</v>
      </c>
      <c r="AK243" s="13">
        <f t="shared" si="168"/>
        <v>1.2784988382346325</v>
      </c>
      <c r="AL243" s="14">
        <f t="shared" si="169"/>
        <v>828.80035730253599</v>
      </c>
      <c r="AM243" s="13">
        <f t="shared" si="170"/>
        <v>1.2784988382346325</v>
      </c>
      <c r="AN243" s="14">
        <f t="shared" si="171"/>
        <v>828.80035730253599</v>
      </c>
    </row>
    <row r="244" spans="16:40" x14ac:dyDescent="0.25">
      <c r="P244" s="13">
        <f t="shared" si="148"/>
        <v>1.2778541360146003</v>
      </c>
      <c r="Q244" s="14">
        <f t="shared" si="149"/>
        <v>837.57507430162275</v>
      </c>
      <c r="R244" s="13">
        <f t="shared" si="150"/>
        <v>1.3175798244716865</v>
      </c>
      <c r="S244" s="14">
        <f t="shared" si="151"/>
        <v>856.72138385834182</v>
      </c>
      <c r="T244" s="13">
        <f t="shared" si="152"/>
        <v>1.3394374004511849</v>
      </c>
      <c r="U244" s="14">
        <f t="shared" si="153"/>
        <v>866.98926591013526</v>
      </c>
      <c r="V244" s="13">
        <f t="shared" si="154"/>
        <v>1.2753543819101882</v>
      </c>
      <c r="W244" s="14">
        <f t="shared" si="155"/>
        <v>841.99048143554796</v>
      </c>
      <c r="X244" s="13">
        <f t="shared" si="156"/>
        <v>1.2990636508763</v>
      </c>
      <c r="Y244" s="14">
        <f t="shared" si="157"/>
        <v>853.99646238201058</v>
      </c>
      <c r="Z244" s="13">
        <f t="shared" si="158"/>
        <v>1.3284559828356506</v>
      </c>
      <c r="AA244" s="14">
        <f t="shared" si="159"/>
        <v>867.98487027854685</v>
      </c>
      <c r="AB244" s="13">
        <f t="shared" si="160"/>
        <v>1.2680664446230085</v>
      </c>
      <c r="AC244" s="14">
        <f t="shared" si="161"/>
        <v>856.6622688666572</v>
      </c>
      <c r="AD244" s="13">
        <f t="shared" si="162"/>
        <v>1.2911613819695913</v>
      </c>
      <c r="AE244" s="14">
        <f t="shared" si="163"/>
        <v>868.2174196394111</v>
      </c>
      <c r="AF244" s="13">
        <f t="shared" si="164"/>
        <v>1.3198200044488453</v>
      </c>
      <c r="AG244" s="14">
        <f t="shared" si="165"/>
        <v>881.93499705711292</v>
      </c>
      <c r="AI244" s="13">
        <f t="shared" si="166"/>
        <v>1.2784988382346325</v>
      </c>
      <c r="AJ244" s="14">
        <f t="shared" si="167"/>
        <v>828.46845721534669</v>
      </c>
      <c r="AK244" s="13">
        <f t="shared" si="168"/>
        <v>1.2784988382346325</v>
      </c>
      <c r="AL244" s="14">
        <f t="shared" si="169"/>
        <v>828.80035730253599</v>
      </c>
      <c r="AM244" s="13">
        <f t="shared" si="170"/>
        <v>1.2784988382346325</v>
      </c>
      <c r="AN244" s="14">
        <f t="shared" si="171"/>
        <v>828.80035730253599</v>
      </c>
    </row>
    <row r="245" spans="16:40" x14ac:dyDescent="0.25">
      <c r="P245" s="13">
        <f t="shared" si="148"/>
        <v>1.2778541360146003</v>
      </c>
      <c r="Q245" s="14">
        <f t="shared" si="149"/>
        <v>837.57507430162275</v>
      </c>
      <c r="R245" s="13">
        <f t="shared" si="150"/>
        <v>1.3175798244716865</v>
      </c>
      <c r="S245" s="14">
        <f t="shared" si="151"/>
        <v>856.72138385834182</v>
      </c>
      <c r="T245" s="13">
        <f t="shared" si="152"/>
        <v>1.3394374004511849</v>
      </c>
      <c r="U245" s="14">
        <f t="shared" si="153"/>
        <v>866.98926591013526</v>
      </c>
      <c r="V245" s="13">
        <f t="shared" si="154"/>
        <v>1.2753543819101882</v>
      </c>
      <c r="W245" s="14">
        <f t="shared" si="155"/>
        <v>841.99048143554796</v>
      </c>
      <c r="X245" s="13">
        <f t="shared" si="156"/>
        <v>1.2990636508763</v>
      </c>
      <c r="Y245" s="14">
        <f t="shared" si="157"/>
        <v>853.99646238201058</v>
      </c>
      <c r="Z245" s="13">
        <f t="shared" si="158"/>
        <v>1.3284559828356506</v>
      </c>
      <c r="AA245" s="14">
        <f t="shared" si="159"/>
        <v>867.98487027854685</v>
      </c>
      <c r="AB245" s="13">
        <f t="shared" si="160"/>
        <v>1.2680664446230085</v>
      </c>
      <c r="AC245" s="14">
        <f t="shared" si="161"/>
        <v>856.6622688666572</v>
      </c>
      <c r="AD245" s="13">
        <f t="shared" si="162"/>
        <v>1.2911613819695913</v>
      </c>
      <c r="AE245" s="14">
        <f t="shared" si="163"/>
        <v>868.2174196394111</v>
      </c>
      <c r="AF245" s="13">
        <f t="shared" si="164"/>
        <v>1.3198200044488453</v>
      </c>
      <c r="AG245" s="14">
        <f t="shared" si="165"/>
        <v>881.93499705711292</v>
      </c>
      <c r="AI245" s="13">
        <f t="shared" si="166"/>
        <v>1.2784988382346325</v>
      </c>
      <c r="AJ245" s="14">
        <f t="shared" si="167"/>
        <v>828.46845721534669</v>
      </c>
      <c r="AK245" s="13">
        <f t="shared" si="168"/>
        <v>1.2784988382346325</v>
      </c>
      <c r="AL245" s="14">
        <f t="shared" si="169"/>
        <v>828.80035730253599</v>
      </c>
      <c r="AM245" s="13">
        <f t="shared" si="170"/>
        <v>1.2784988382346325</v>
      </c>
      <c r="AN245" s="14">
        <f t="shared" si="171"/>
        <v>828.80035730253599</v>
      </c>
    </row>
    <row r="246" spans="16:40" x14ac:dyDescent="0.25">
      <c r="P246" s="13">
        <f t="shared" si="148"/>
        <v>1.2778541360146003</v>
      </c>
      <c r="Q246" s="14">
        <f t="shared" si="149"/>
        <v>837.57507430162275</v>
      </c>
      <c r="R246" s="13">
        <f t="shared" si="150"/>
        <v>1.3175798244716865</v>
      </c>
      <c r="S246" s="14">
        <f t="shared" si="151"/>
        <v>856.72138385834182</v>
      </c>
      <c r="T246" s="13">
        <f t="shared" si="152"/>
        <v>1.3394374004511849</v>
      </c>
      <c r="U246" s="14">
        <f t="shared" si="153"/>
        <v>866.98926591013526</v>
      </c>
      <c r="V246" s="13">
        <f t="shared" si="154"/>
        <v>1.2753543819101882</v>
      </c>
      <c r="W246" s="14">
        <f t="shared" si="155"/>
        <v>841.99048143554796</v>
      </c>
      <c r="X246" s="13">
        <f t="shared" si="156"/>
        <v>1.2990636508763</v>
      </c>
      <c r="Y246" s="14">
        <f t="shared" si="157"/>
        <v>853.99646238201058</v>
      </c>
      <c r="Z246" s="13">
        <f t="shared" si="158"/>
        <v>1.3284559828356506</v>
      </c>
      <c r="AA246" s="14">
        <f t="shared" si="159"/>
        <v>867.98487027854685</v>
      </c>
      <c r="AB246" s="13">
        <f t="shared" si="160"/>
        <v>1.2680664446230085</v>
      </c>
      <c r="AC246" s="14">
        <f t="shared" si="161"/>
        <v>856.6622688666572</v>
      </c>
      <c r="AD246" s="13">
        <f t="shared" si="162"/>
        <v>1.2911613819695913</v>
      </c>
      <c r="AE246" s="14">
        <f t="shared" si="163"/>
        <v>868.2174196394111</v>
      </c>
      <c r="AF246" s="13">
        <f t="shared" si="164"/>
        <v>1.3198200044488453</v>
      </c>
      <c r="AG246" s="14">
        <f t="shared" si="165"/>
        <v>881.93499705711292</v>
      </c>
      <c r="AI246" s="13">
        <f t="shared" si="166"/>
        <v>1.2784988382346325</v>
      </c>
      <c r="AJ246" s="14">
        <f t="shared" si="167"/>
        <v>828.46845721534669</v>
      </c>
      <c r="AK246" s="13">
        <f t="shared" si="168"/>
        <v>1.2784988382346325</v>
      </c>
      <c r="AL246" s="14">
        <f t="shared" si="169"/>
        <v>828.80035730253599</v>
      </c>
      <c r="AM246" s="13">
        <f t="shared" si="170"/>
        <v>1.2784988382346325</v>
      </c>
      <c r="AN246" s="14">
        <f t="shared" si="171"/>
        <v>828.80035730253599</v>
      </c>
    </row>
    <row r="247" spans="16:40" x14ac:dyDescent="0.25">
      <c r="P247" s="13">
        <f t="shared" si="148"/>
        <v>1.2778541360146003</v>
      </c>
      <c r="Q247" s="14">
        <f t="shared" si="149"/>
        <v>837.57507430162275</v>
      </c>
      <c r="R247" s="13">
        <f t="shared" si="150"/>
        <v>1.3175798244716865</v>
      </c>
      <c r="S247" s="14">
        <f t="shared" si="151"/>
        <v>856.72138385834182</v>
      </c>
      <c r="T247" s="13">
        <f t="shared" si="152"/>
        <v>1.3394374004511849</v>
      </c>
      <c r="U247" s="14">
        <f t="shared" si="153"/>
        <v>866.98926591013526</v>
      </c>
      <c r="V247" s="13">
        <f t="shared" si="154"/>
        <v>1.2753543819101882</v>
      </c>
      <c r="W247" s="14">
        <f t="shared" si="155"/>
        <v>841.99048143554796</v>
      </c>
      <c r="X247" s="13">
        <f t="shared" si="156"/>
        <v>1.2990636508763</v>
      </c>
      <c r="Y247" s="14">
        <f t="shared" si="157"/>
        <v>853.99646238201058</v>
      </c>
      <c r="Z247" s="13">
        <f t="shared" si="158"/>
        <v>1.3284559828356506</v>
      </c>
      <c r="AA247" s="14">
        <f t="shared" si="159"/>
        <v>867.98487027854685</v>
      </c>
      <c r="AB247" s="13">
        <f t="shared" si="160"/>
        <v>1.2680664446230085</v>
      </c>
      <c r="AC247" s="14">
        <f t="shared" si="161"/>
        <v>856.6622688666572</v>
      </c>
      <c r="AD247" s="13">
        <f t="shared" si="162"/>
        <v>1.2911613819695913</v>
      </c>
      <c r="AE247" s="14">
        <f t="shared" si="163"/>
        <v>868.2174196394111</v>
      </c>
      <c r="AF247" s="13">
        <f t="shared" si="164"/>
        <v>1.3198200044488453</v>
      </c>
      <c r="AG247" s="14">
        <f t="shared" si="165"/>
        <v>881.93499705711292</v>
      </c>
      <c r="AI247" s="13">
        <f t="shared" si="166"/>
        <v>1.2784988382346325</v>
      </c>
      <c r="AJ247" s="14">
        <f t="shared" si="167"/>
        <v>828.46845721534669</v>
      </c>
      <c r="AK247" s="13">
        <f t="shared" si="168"/>
        <v>1.2784988382346325</v>
      </c>
      <c r="AL247" s="14">
        <f t="shared" si="169"/>
        <v>828.80035730253599</v>
      </c>
      <c r="AM247" s="13">
        <f t="shared" si="170"/>
        <v>1.2784988382346325</v>
      </c>
      <c r="AN247" s="14">
        <f t="shared" si="171"/>
        <v>828.80035730253599</v>
      </c>
    </row>
    <row r="248" spans="16:40" x14ac:dyDescent="0.25">
      <c r="P248" s="13">
        <f t="shared" si="148"/>
        <v>1.2778541360146003</v>
      </c>
      <c r="Q248" s="14">
        <f t="shared" si="149"/>
        <v>837.57507430162275</v>
      </c>
      <c r="R248" s="13">
        <f t="shared" si="150"/>
        <v>1.3175798244716865</v>
      </c>
      <c r="S248" s="14">
        <f t="shared" si="151"/>
        <v>856.72138385834182</v>
      </c>
      <c r="T248" s="13">
        <f t="shared" si="152"/>
        <v>1.3394374004511849</v>
      </c>
      <c r="U248" s="14">
        <f t="shared" si="153"/>
        <v>866.98926591013526</v>
      </c>
      <c r="V248" s="13">
        <f t="shared" si="154"/>
        <v>1.2753543819101882</v>
      </c>
      <c r="W248" s="14">
        <f t="shared" si="155"/>
        <v>841.99048143554796</v>
      </c>
      <c r="X248" s="13">
        <f t="shared" si="156"/>
        <v>1.2990636508763</v>
      </c>
      <c r="Y248" s="14">
        <f t="shared" si="157"/>
        <v>853.99646238201058</v>
      </c>
      <c r="Z248" s="13">
        <f t="shared" si="158"/>
        <v>1.3284559828356506</v>
      </c>
      <c r="AA248" s="14">
        <f t="shared" si="159"/>
        <v>867.98487027854685</v>
      </c>
      <c r="AB248" s="13">
        <f t="shared" si="160"/>
        <v>1.2680664446230085</v>
      </c>
      <c r="AC248" s="14">
        <f t="shared" si="161"/>
        <v>856.6622688666572</v>
      </c>
      <c r="AD248" s="13">
        <f t="shared" si="162"/>
        <v>1.2911613819695913</v>
      </c>
      <c r="AE248" s="14">
        <f t="shared" si="163"/>
        <v>868.2174196394111</v>
      </c>
      <c r="AF248" s="13">
        <f t="shared" si="164"/>
        <v>1.3198200044488453</v>
      </c>
      <c r="AG248" s="14">
        <f t="shared" si="165"/>
        <v>881.93499705711292</v>
      </c>
      <c r="AI248" s="13">
        <f t="shared" si="166"/>
        <v>1.2784988382346325</v>
      </c>
      <c r="AJ248" s="14">
        <f t="shared" si="167"/>
        <v>828.46845721534669</v>
      </c>
      <c r="AK248" s="13">
        <f t="shared" si="168"/>
        <v>1.2784988382346325</v>
      </c>
      <c r="AL248" s="14">
        <f t="shared" si="169"/>
        <v>828.80035730253599</v>
      </c>
      <c r="AM248" s="13">
        <f t="shared" si="170"/>
        <v>1.2784988382346325</v>
      </c>
      <c r="AN248" s="14">
        <f t="shared" si="171"/>
        <v>828.80035730253599</v>
      </c>
    </row>
    <row r="249" spans="16:40" x14ac:dyDescent="0.25">
      <c r="P249" s="13">
        <f t="shared" si="148"/>
        <v>1.2778541360146003</v>
      </c>
      <c r="Q249" s="14">
        <f t="shared" si="149"/>
        <v>837.57507430162275</v>
      </c>
      <c r="R249" s="13">
        <f t="shared" si="150"/>
        <v>1.3175798244716865</v>
      </c>
      <c r="S249" s="14">
        <f t="shared" si="151"/>
        <v>856.72138385834182</v>
      </c>
      <c r="T249" s="13">
        <f t="shared" si="152"/>
        <v>1.3394374004511849</v>
      </c>
      <c r="U249" s="14">
        <f t="shared" si="153"/>
        <v>866.98926591013526</v>
      </c>
      <c r="V249" s="13">
        <f t="shared" si="154"/>
        <v>1.2753543819101882</v>
      </c>
      <c r="W249" s="14">
        <f t="shared" si="155"/>
        <v>841.99048143554796</v>
      </c>
      <c r="X249" s="13">
        <f t="shared" si="156"/>
        <v>1.2990636508763</v>
      </c>
      <c r="Y249" s="14">
        <f t="shared" si="157"/>
        <v>853.99646238201058</v>
      </c>
      <c r="Z249" s="13">
        <f t="shared" si="158"/>
        <v>1.3284559828356506</v>
      </c>
      <c r="AA249" s="14">
        <f t="shared" si="159"/>
        <v>867.98487027854685</v>
      </c>
      <c r="AB249" s="13">
        <f t="shared" si="160"/>
        <v>1.2680664446230085</v>
      </c>
      <c r="AC249" s="14">
        <f t="shared" si="161"/>
        <v>856.6622688666572</v>
      </c>
      <c r="AD249" s="13">
        <f t="shared" si="162"/>
        <v>1.2911613819695913</v>
      </c>
      <c r="AE249" s="14">
        <f t="shared" si="163"/>
        <v>868.2174196394111</v>
      </c>
      <c r="AF249" s="13">
        <f t="shared" si="164"/>
        <v>1.3198200044488453</v>
      </c>
      <c r="AG249" s="14">
        <f t="shared" si="165"/>
        <v>881.93499705711292</v>
      </c>
      <c r="AI249" s="13">
        <f t="shared" si="166"/>
        <v>1.2784988382346325</v>
      </c>
      <c r="AJ249" s="14">
        <f t="shared" si="167"/>
        <v>828.46845721534669</v>
      </c>
      <c r="AK249" s="13">
        <f t="shared" si="168"/>
        <v>1.2784988382346325</v>
      </c>
      <c r="AL249" s="14">
        <f t="shared" si="169"/>
        <v>828.80035730253599</v>
      </c>
      <c r="AM249" s="13">
        <f t="shared" si="170"/>
        <v>1.2784988382346325</v>
      </c>
      <c r="AN249" s="14">
        <f t="shared" si="171"/>
        <v>828.80035730253599</v>
      </c>
    </row>
    <row r="250" spans="16:40" x14ac:dyDescent="0.25">
      <c r="P250" s="13">
        <f t="shared" si="148"/>
        <v>1.2778541360146003</v>
      </c>
      <c r="Q250" s="14">
        <f t="shared" si="149"/>
        <v>837.57507430162275</v>
      </c>
      <c r="R250" s="13">
        <f t="shared" si="150"/>
        <v>1.3175798244716865</v>
      </c>
      <c r="S250" s="14">
        <f t="shared" si="151"/>
        <v>856.72138385834182</v>
      </c>
      <c r="T250" s="13">
        <f t="shared" si="152"/>
        <v>1.3394374004511849</v>
      </c>
      <c r="U250" s="14">
        <f t="shared" si="153"/>
        <v>866.98926591013526</v>
      </c>
      <c r="V250" s="13">
        <f t="shared" si="154"/>
        <v>1.2753543819101882</v>
      </c>
      <c r="W250" s="14">
        <f t="shared" si="155"/>
        <v>841.99048143554796</v>
      </c>
      <c r="X250" s="13">
        <f t="shared" si="156"/>
        <v>1.2990636508763</v>
      </c>
      <c r="Y250" s="14">
        <f t="shared" si="157"/>
        <v>853.99646238201058</v>
      </c>
      <c r="Z250" s="13">
        <f t="shared" si="158"/>
        <v>1.3284559828356506</v>
      </c>
      <c r="AA250" s="14">
        <f t="shared" si="159"/>
        <v>867.98487027854685</v>
      </c>
      <c r="AB250" s="13">
        <f t="shared" si="160"/>
        <v>1.2680664446230085</v>
      </c>
      <c r="AC250" s="14">
        <f t="shared" si="161"/>
        <v>856.6622688666572</v>
      </c>
      <c r="AD250" s="13">
        <f t="shared" si="162"/>
        <v>1.2911613819695913</v>
      </c>
      <c r="AE250" s="14">
        <f t="shared" si="163"/>
        <v>868.2174196394111</v>
      </c>
      <c r="AF250" s="13">
        <f t="shared" si="164"/>
        <v>1.3198200044488453</v>
      </c>
      <c r="AG250" s="14">
        <f t="shared" si="165"/>
        <v>881.93499705711292</v>
      </c>
      <c r="AI250" s="13">
        <f t="shared" si="166"/>
        <v>1.2784988382346325</v>
      </c>
      <c r="AJ250" s="14">
        <f t="shared" si="167"/>
        <v>828.46845721534669</v>
      </c>
      <c r="AK250" s="13">
        <f t="shared" si="168"/>
        <v>1.2784988382346325</v>
      </c>
      <c r="AL250" s="14">
        <f t="shared" si="169"/>
        <v>828.80035730253599</v>
      </c>
      <c r="AM250" s="13">
        <f t="shared" si="170"/>
        <v>1.2784988382346325</v>
      </c>
      <c r="AN250" s="14">
        <f t="shared" si="171"/>
        <v>828.80035730253599</v>
      </c>
    </row>
    <row r="251" spans="16:40" x14ac:dyDescent="0.25">
      <c r="P251" s="13">
        <f t="shared" si="148"/>
        <v>1.2778541360146003</v>
      </c>
      <c r="Q251" s="14">
        <f t="shared" si="149"/>
        <v>837.57507430162275</v>
      </c>
      <c r="R251" s="13">
        <f t="shared" si="150"/>
        <v>1.3175798244716865</v>
      </c>
      <c r="S251" s="14">
        <f t="shared" si="151"/>
        <v>856.72138385834182</v>
      </c>
      <c r="T251" s="13">
        <f t="shared" si="152"/>
        <v>1.3394374004511849</v>
      </c>
      <c r="U251" s="14">
        <f t="shared" si="153"/>
        <v>866.98926591013526</v>
      </c>
      <c r="V251" s="13">
        <f t="shared" si="154"/>
        <v>1.2753543819101882</v>
      </c>
      <c r="W251" s="14">
        <f t="shared" si="155"/>
        <v>841.99048143554796</v>
      </c>
      <c r="X251" s="13">
        <f t="shared" si="156"/>
        <v>1.2990636508763</v>
      </c>
      <c r="Y251" s="14">
        <f t="shared" si="157"/>
        <v>853.99646238201058</v>
      </c>
      <c r="Z251" s="13">
        <f t="shared" si="158"/>
        <v>1.3284559828356506</v>
      </c>
      <c r="AA251" s="14">
        <f t="shared" si="159"/>
        <v>867.98487027854685</v>
      </c>
      <c r="AB251" s="13">
        <f t="shared" si="160"/>
        <v>1.2680664446230085</v>
      </c>
      <c r="AC251" s="14">
        <f t="shared" si="161"/>
        <v>856.6622688666572</v>
      </c>
      <c r="AD251" s="13">
        <f t="shared" si="162"/>
        <v>1.2911613819695913</v>
      </c>
      <c r="AE251" s="14">
        <f t="shared" si="163"/>
        <v>868.2174196394111</v>
      </c>
      <c r="AF251" s="13">
        <f t="shared" si="164"/>
        <v>1.3198200044488453</v>
      </c>
      <c r="AG251" s="14">
        <f t="shared" si="165"/>
        <v>881.93499705711292</v>
      </c>
      <c r="AI251" s="13">
        <f t="shared" si="166"/>
        <v>1.2784988382346325</v>
      </c>
      <c r="AJ251" s="14">
        <f t="shared" si="167"/>
        <v>828.46845721534669</v>
      </c>
      <c r="AK251" s="13">
        <f t="shared" si="168"/>
        <v>1.2784988382346325</v>
      </c>
      <c r="AL251" s="14">
        <f t="shared" si="169"/>
        <v>828.80035730253599</v>
      </c>
      <c r="AM251" s="13">
        <f t="shared" si="170"/>
        <v>1.2784988382346325</v>
      </c>
      <c r="AN251" s="14">
        <f t="shared" si="171"/>
        <v>828.80035730253599</v>
      </c>
    </row>
    <row r="252" spans="16:40" x14ac:dyDescent="0.25">
      <c r="P252" s="13">
        <f t="shared" si="148"/>
        <v>1.2778541360146003</v>
      </c>
      <c r="Q252" s="14">
        <f t="shared" si="149"/>
        <v>837.57507430162275</v>
      </c>
      <c r="R252" s="13">
        <f t="shared" si="150"/>
        <v>1.3175798244716865</v>
      </c>
      <c r="S252" s="14">
        <f t="shared" si="151"/>
        <v>856.72138385834182</v>
      </c>
      <c r="T252" s="13">
        <f t="shared" si="152"/>
        <v>1.3394374004511849</v>
      </c>
      <c r="U252" s="14">
        <f t="shared" si="153"/>
        <v>866.98926591013526</v>
      </c>
      <c r="V252" s="13">
        <f t="shared" si="154"/>
        <v>1.2753543819101882</v>
      </c>
      <c r="W252" s="14">
        <f t="shared" si="155"/>
        <v>841.99048143554796</v>
      </c>
      <c r="X252" s="13">
        <f t="shared" si="156"/>
        <v>1.2990636508763</v>
      </c>
      <c r="Y252" s="14">
        <f t="shared" si="157"/>
        <v>853.99646238201058</v>
      </c>
      <c r="Z252" s="13">
        <f t="shared" si="158"/>
        <v>1.3284559828356506</v>
      </c>
      <c r="AA252" s="14">
        <f t="shared" si="159"/>
        <v>867.98487027854685</v>
      </c>
      <c r="AB252" s="13">
        <f t="shared" si="160"/>
        <v>1.2680664446230085</v>
      </c>
      <c r="AC252" s="14">
        <f t="shared" si="161"/>
        <v>856.6622688666572</v>
      </c>
      <c r="AD252" s="13">
        <f t="shared" si="162"/>
        <v>1.2911613819695913</v>
      </c>
      <c r="AE252" s="14">
        <f t="shared" si="163"/>
        <v>868.2174196394111</v>
      </c>
      <c r="AF252" s="13">
        <f t="shared" si="164"/>
        <v>1.3198200044488453</v>
      </c>
      <c r="AG252" s="14">
        <f t="shared" si="165"/>
        <v>881.93499705711292</v>
      </c>
      <c r="AI252" s="13">
        <f t="shared" si="166"/>
        <v>1.2784988382346325</v>
      </c>
      <c r="AJ252" s="14">
        <f t="shared" si="167"/>
        <v>828.46845721534669</v>
      </c>
      <c r="AK252" s="13">
        <f t="shared" si="168"/>
        <v>1.2784988382346325</v>
      </c>
      <c r="AL252" s="14">
        <f t="shared" si="169"/>
        <v>828.80035730253599</v>
      </c>
      <c r="AM252" s="13">
        <f t="shared" si="170"/>
        <v>1.2784988382346325</v>
      </c>
      <c r="AN252" s="14">
        <f t="shared" si="171"/>
        <v>828.80035730253599</v>
      </c>
    </row>
    <row r="253" spans="16:40" x14ac:dyDescent="0.25">
      <c r="P253" s="13">
        <f t="shared" si="148"/>
        <v>1.2778541360146003</v>
      </c>
      <c r="Q253" s="14">
        <f t="shared" si="149"/>
        <v>837.57507430162275</v>
      </c>
      <c r="R253" s="13">
        <f t="shared" si="150"/>
        <v>1.3175798244716865</v>
      </c>
      <c r="S253" s="14">
        <f t="shared" si="151"/>
        <v>856.72138385834182</v>
      </c>
      <c r="T253" s="13">
        <f t="shared" si="152"/>
        <v>1.3394374004511849</v>
      </c>
      <c r="U253" s="14">
        <f t="shared" si="153"/>
        <v>866.98926591013526</v>
      </c>
      <c r="V253" s="13">
        <f t="shared" si="154"/>
        <v>1.2753543819101882</v>
      </c>
      <c r="W253" s="14">
        <f t="shared" si="155"/>
        <v>841.99048143554796</v>
      </c>
      <c r="X253" s="13">
        <f t="shared" si="156"/>
        <v>1.2990636508763</v>
      </c>
      <c r="Y253" s="14">
        <f t="shared" si="157"/>
        <v>853.99646238201058</v>
      </c>
      <c r="Z253" s="13">
        <f t="shared" si="158"/>
        <v>1.3284559828356506</v>
      </c>
      <c r="AA253" s="14">
        <f t="shared" si="159"/>
        <v>867.98487027854685</v>
      </c>
      <c r="AB253" s="13">
        <f t="shared" si="160"/>
        <v>1.2680664446230085</v>
      </c>
      <c r="AC253" s="14">
        <f t="shared" si="161"/>
        <v>856.6622688666572</v>
      </c>
      <c r="AD253" s="13">
        <f t="shared" si="162"/>
        <v>1.2911613819695913</v>
      </c>
      <c r="AE253" s="14">
        <f t="shared" si="163"/>
        <v>868.2174196394111</v>
      </c>
      <c r="AF253" s="13">
        <f t="shared" si="164"/>
        <v>1.3198200044488453</v>
      </c>
      <c r="AG253" s="14">
        <f t="shared" si="165"/>
        <v>881.93499705711292</v>
      </c>
      <c r="AI253" s="13">
        <f t="shared" si="166"/>
        <v>1.2784988382346325</v>
      </c>
      <c r="AJ253" s="14">
        <f t="shared" si="167"/>
        <v>828.46845721534669</v>
      </c>
      <c r="AK253" s="13">
        <f t="shared" si="168"/>
        <v>1.2784988382346325</v>
      </c>
      <c r="AL253" s="14">
        <f t="shared" si="169"/>
        <v>828.80035730253599</v>
      </c>
      <c r="AM253" s="13">
        <f t="shared" si="170"/>
        <v>1.2784988382346325</v>
      </c>
      <c r="AN253" s="14">
        <f t="shared" si="171"/>
        <v>828.80035730253599</v>
      </c>
    </row>
    <row r="254" spans="16:40" x14ac:dyDescent="0.25">
      <c r="P254" s="13">
        <f t="shared" si="148"/>
        <v>1.2778541360146003</v>
      </c>
      <c r="Q254" s="14">
        <f t="shared" si="149"/>
        <v>837.57507430162275</v>
      </c>
      <c r="R254" s="13">
        <f t="shared" si="150"/>
        <v>1.3175798244716865</v>
      </c>
      <c r="S254" s="14">
        <f t="shared" si="151"/>
        <v>856.72138385834182</v>
      </c>
      <c r="T254" s="13">
        <f t="shared" si="152"/>
        <v>1.3394374004511849</v>
      </c>
      <c r="U254" s="14">
        <f t="shared" si="153"/>
        <v>866.98926591013526</v>
      </c>
      <c r="V254" s="13">
        <f t="shared" si="154"/>
        <v>1.2753543819101882</v>
      </c>
      <c r="W254" s="14">
        <f t="shared" si="155"/>
        <v>841.99048143554796</v>
      </c>
      <c r="X254" s="13">
        <f t="shared" si="156"/>
        <v>1.2990636508763</v>
      </c>
      <c r="Y254" s="14">
        <f t="shared" si="157"/>
        <v>853.99646238201058</v>
      </c>
      <c r="Z254" s="13">
        <f t="shared" si="158"/>
        <v>1.3284559828356506</v>
      </c>
      <c r="AA254" s="14">
        <f t="shared" si="159"/>
        <v>867.98487027854685</v>
      </c>
      <c r="AB254" s="13">
        <f t="shared" si="160"/>
        <v>1.2680664446230085</v>
      </c>
      <c r="AC254" s="14">
        <f t="shared" si="161"/>
        <v>856.6622688666572</v>
      </c>
      <c r="AD254" s="13">
        <f t="shared" si="162"/>
        <v>1.2911613819695913</v>
      </c>
      <c r="AE254" s="14">
        <f t="shared" si="163"/>
        <v>868.2174196394111</v>
      </c>
      <c r="AF254" s="13">
        <f t="shared" si="164"/>
        <v>1.3198200044488453</v>
      </c>
      <c r="AG254" s="14">
        <f t="shared" si="165"/>
        <v>881.93499705711292</v>
      </c>
      <c r="AI254" s="13">
        <f t="shared" si="166"/>
        <v>1.2784988382346325</v>
      </c>
      <c r="AJ254" s="14">
        <f t="shared" si="167"/>
        <v>828.46845721534669</v>
      </c>
      <c r="AK254" s="13">
        <f t="shared" si="168"/>
        <v>1.2784988382346325</v>
      </c>
      <c r="AL254" s="14">
        <f t="shared" si="169"/>
        <v>828.80035730253599</v>
      </c>
      <c r="AM254" s="13">
        <f t="shared" si="170"/>
        <v>1.2784988382346325</v>
      </c>
      <c r="AN254" s="14">
        <f t="shared" si="171"/>
        <v>828.80035730253599</v>
      </c>
    </row>
    <row r="255" spans="16:40" ht="15.75" thickBot="1" x14ac:dyDescent="0.3">
      <c r="P255" s="70">
        <f t="shared" si="148"/>
        <v>1.2778541360146003</v>
      </c>
      <c r="Q255" s="71">
        <f t="shared" si="149"/>
        <v>837.57507430162275</v>
      </c>
      <c r="R255" s="70">
        <f t="shared" si="150"/>
        <v>1.3175798244716865</v>
      </c>
      <c r="S255" s="71">
        <f t="shared" si="151"/>
        <v>856.72138385834182</v>
      </c>
      <c r="T255" s="70">
        <f t="shared" si="152"/>
        <v>1.3394374004511849</v>
      </c>
      <c r="U255" s="71">
        <f t="shared" si="153"/>
        <v>866.98926591013526</v>
      </c>
      <c r="V255" s="70">
        <f t="shared" si="154"/>
        <v>1.2753543819101882</v>
      </c>
      <c r="W255" s="71">
        <f t="shared" si="155"/>
        <v>841.99048143554796</v>
      </c>
      <c r="X255" s="70">
        <f t="shared" si="156"/>
        <v>1.2990636508763</v>
      </c>
      <c r="Y255" s="71">
        <f t="shared" si="157"/>
        <v>853.99646238201058</v>
      </c>
      <c r="Z255" s="70">
        <f t="shared" si="158"/>
        <v>1.3284559828356506</v>
      </c>
      <c r="AA255" s="71">
        <f t="shared" si="159"/>
        <v>867.98487027854685</v>
      </c>
      <c r="AB255" s="70">
        <f t="shared" si="160"/>
        <v>1.2680664446230085</v>
      </c>
      <c r="AC255" s="71">
        <f t="shared" si="161"/>
        <v>856.6622688666572</v>
      </c>
      <c r="AD255" s="70">
        <f t="shared" si="162"/>
        <v>1.2911613819695913</v>
      </c>
      <c r="AE255" s="71">
        <f t="shared" si="163"/>
        <v>868.2174196394111</v>
      </c>
      <c r="AF255" s="70">
        <f t="shared" si="164"/>
        <v>1.3198200044488453</v>
      </c>
      <c r="AG255" s="71">
        <f t="shared" si="165"/>
        <v>881.93499705711292</v>
      </c>
      <c r="AI255" s="70">
        <f t="shared" si="166"/>
        <v>1.2784988382346325</v>
      </c>
      <c r="AJ255" s="71">
        <f t="shared" si="167"/>
        <v>828.46845721534669</v>
      </c>
      <c r="AK255" s="70">
        <f t="shared" si="168"/>
        <v>1.2784988382346325</v>
      </c>
      <c r="AL255" s="71">
        <f t="shared" si="169"/>
        <v>828.80035730253599</v>
      </c>
      <c r="AM255" s="13">
        <f t="shared" si="170"/>
        <v>1.2784988382346325</v>
      </c>
      <c r="AN255" s="14">
        <f t="shared" si="171"/>
        <v>828.80035730253599</v>
      </c>
    </row>
  </sheetData>
  <mergeCells count="187">
    <mergeCell ref="B116:D116"/>
    <mergeCell ref="H116:J116"/>
    <mergeCell ref="E116:G116"/>
    <mergeCell ref="H118:J118"/>
    <mergeCell ref="E118:G118"/>
    <mergeCell ref="B118:D118"/>
    <mergeCell ref="H120:J120"/>
    <mergeCell ref="E120:G120"/>
    <mergeCell ref="B120:D120"/>
    <mergeCell ref="B3:J3"/>
    <mergeCell ref="B2:N2"/>
    <mergeCell ref="L3:N3"/>
    <mergeCell ref="L7:N7"/>
    <mergeCell ref="B4:D4"/>
    <mergeCell ref="E4:G4"/>
    <mergeCell ref="H4:J4"/>
    <mergeCell ref="B6:D6"/>
    <mergeCell ref="E6:G6"/>
    <mergeCell ref="H6:J6"/>
    <mergeCell ref="S15:AA15"/>
    <mergeCell ref="S16:U16"/>
    <mergeCell ref="V16:X16"/>
    <mergeCell ref="Y16:AA16"/>
    <mergeCell ref="V12:X12"/>
    <mergeCell ref="L11:N11"/>
    <mergeCell ref="L12:N12"/>
    <mergeCell ref="P6:W6"/>
    <mergeCell ref="P11:R12"/>
    <mergeCell ref="S11:AA11"/>
    <mergeCell ref="S12:U12"/>
    <mergeCell ref="Y12:AA12"/>
    <mergeCell ref="P10:AA10"/>
    <mergeCell ref="L8:N8"/>
    <mergeCell ref="L9:N9"/>
    <mergeCell ref="L10:N10"/>
    <mergeCell ref="P30:R30"/>
    <mergeCell ref="P31:R31"/>
    <mergeCell ref="P17:R17"/>
    <mergeCell ref="S19:AA19"/>
    <mergeCell ref="S20:U20"/>
    <mergeCell ref="V20:X20"/>
    <mergeCell ref="Y20:AA20"/>
    <mergeCell ref="P38:R38"/>
    <mergeCell ref="S38:U38"/>
    <mergeCell ref="V38:X38"/>
    <mergeCell ref="P37:X37"/>
    <mergeCell ref="P36:X36"/>
    <mergeCell ref="P35:Y35"/>
    <mergeCell ref="Y36:Y39"/>
    <mergeCell ref="B100:J100"/>
    <mergeCell ref="M52:N52"/>
    <mergeCell ref="M53:N53"/>
    <mergeCell ref="M54:N54"/>
    <mergeCell ref="M55:N55"/>
    <mergeCell ref="M56:N56"/>
    <mergeCell ref="B29:J29"/>
    <mergeCell ref="M14:N14"/>
    <mergeCell ref="B36:J36"/>
    <mergeCell ref="B44:J44"/>
    <mergeCell ref="L17:N17"/>
    <mergeCell ref="L29:N29"/>
    <mergeCell ref="M30:N30"/>
    <mergeCell ref="M31:N31"/>
    <mergeCell ref="M32:N32"/>
    <mergeCell ref="M33:N33"/>
    <mergeCell ref="M34:N34"/>
    <mergeCell ref="L36:N36"/>
    <mergeCell ref="M37:N37"/>
    <mergeCell ref="M38:N38"/>
    <mergeCell ref="M39:N39"/>
    <mergeCell ref="L18:N18"/>
    <mergeCell ref="L19:N19"/>
    <mergeCell ref="M40:N40"/>
    <mergeCell ref="P42:AA42"/>
    <mergeCell ref="P43:AA43"/>
    <mergeCell ref="B72:J72"/>
    <mergeCell ref="B79:J79"/>
    <mergeCell ref="B51:J51"/>
    <mergeCell ref="B58:J58"/>
    <mergeCell ref="B65:J65"/>
    <mergeCell ref="B86:J86"/>
    <mergeCell ref="B93:J93"/>
    <mergeCell ref="L51:N51"/>
    <mergeCell ref="L65:N65"/>
    <mergeCell ref="L66:N66"/>
    <mergeCell ref="L67:N67"/>
    <mergeCell ref="L68:N68"/>
    <mergeCell ref="M59:N59"/>
    <mergeCell ref="M60:N60"/>
    <mergeCell ref="M61:N61"/>
    <mergeCell ref="M62:N62"/>
    <mergeCell ref="M63:N63"/>
    <mergeCell ref="L72:N72"/>
    <mergeCell ref="L79:N79"/>
    <mergeCell ref="L80:N80"/>
    <mergeCell ref="L73:N73"/>
    <mergeCell ref="L74:N74"/>
    <mergeCell ref="M41:N41"/>
    <mergeCell ref="M42:N42"/>
    <mergeCell ref="M49:N49"/>
    <mergeCell ref="M48:N48"/>
    <mergeCell ref="M47:N47"/>
    <mergeCell ref="M46:N46"/>
    <mergeCell ref="M45:N45"/>
    <mergeCell ref="L44:N44"/>
    <mergeCell ref="L58:N58"/>
    <mergeCell ref="L75:N75"/>
    <mergeCell ref="L76:N76"/>
    <mergeCell ref="L77:N77"/>
    <mergeCell ref="L69:N69"/>
    <mergeCell ref="L70:N70"/>
    <mergeCell ref="L87:N87"/>
    <mergeCell ref="L88:N88"/>
    <mergeCell ref="L89:N89"/>
    <mergeCell ref="L90:N90"/>
    <mergeCell ref="L94:N94"/>
    <mergeCell ref="L95:N95"/>
    <mergeCell ref="L96:N96"/>
    <mergeCell ref="L97:N97"/>
    <mergeCell ref="L110:N110"/>
    <mergeCell ref="L111:N111"/>
    <mergeCell ref="L91:N91"/>
    <mergeCell ref="L81:N81"/>
    <mergeCell ref="L82:N82"/>
    <mergeCell ref="L83:N83"/>
    <mergeCell ref="L84:N84"/>
    <mergeCell ref="L86:N86"/>
    <mergeCell ref="L98:N98"/>
    <mergeCell ref="L100:N100"/>
    <mergeCell ref="L101:N101"/>
    <mergeCell ref="AI154:AJ154"/>
    <mergeCell ref="AK154:AL154"/>
    <mergeCell ref="AM154:AN154"/>
    <mergeCell ref="P47:AG47"/>
    <mergeCell ref="AI49:AJ49"/>
    <mergeCell ref="AK49:AL49"/>
    <mergeCell ref="AM49:AN49"/>
    <mergeCell ref="AI47:AN48"/>
    <mergeCell ref="S23:AA23"/>
    <mergeCell ref="S24:U24"/>
    <mergeCell ref="V24:X24"/>
    <mergeCell ref="Y24:AA24"/>
    <mergeCell ref="P49:Q49"/>
    <mergeCell ref="R49:S49"/>
    <mergeCell ref="T49:U49"/>
    <mergeCell ref="P48:U48"/>
    <mergeCell ref="V48:AA48"/>
    <mergeCell ref="V49:W49"/>
    <mergeCell ref="X49:Y49"/>
    <mergeCell ref="Z49:AA49"/>
    <mergeCell ref="AB48:AG48"/>
    <mergeCell ref="AB49:AC49"/>
    <mergeCell ref="AD49:AE49"/>
    <mergeCell ref="AF49:AG49"/>
    <mergeCell ref="P154:Q154"/>
    <mergeCell ref="R154:S154"/>
    <mergeCell ref="T154:U154"/>
    <mergeCell ref="V154:W154"/>
    <mergeCell ref="X154:Y154"/>
    <mergeCell ref="Z154:AA154"/>
    <mergeCell ref="AB154:AC154"/>
    <mergeCell ref="AD154:AE154"/>
    <mergeCell ref="AF154:AG154"/>
    <mergeCell ref="B122:D122"/>
    <mergeCell ref="E122:G122"/>
    <mergeCell ref="H122:J122"/>
    <mergeCell ref="L4:L5"/>
    <mergeCell ref="M4:M5"/>
    <mergeCell ref="N4:N5"/>
    <mergeCell ref="P152:AG152"/>
    <mergeCell ref="AI152:AN153"/>
    <mergeCell ref="P153:U153"/>
    <mergeCell ref="V153:AA153"/>
    <mergeCell ref="AB153:AG153"/>
    <mergeCell ref="L112:N112"/>
    <mergeCell ref="B114:D114"/>
    <mergeCell ref="E114:G114"/>
    <mergeCell ref="H114:J114"/>
    <mergeCell ref="L104:N104"/>
    <mergeCell ref="L105:N105"/>
    <mergeCell ref="L107:N107"/>
    <mergeCell ref="L108:N108"/>
    <mergeCell ref="L109:N109"/>
    <mergeCell ref="B107:J107"/>
    <mergeCell ref="L102:N102"/>
    <mergeCell ref="L103:N103"/>
    <mergeCell ref="L93:N93"/>
  </mergeCells>
  <pageMargins left="0.7" right="0.7" top="0.75" bottom="0.75" header="0.3" footer="0.3"/>
  <ignoredErrors>
    <ignoredError sqref="V51:V150 X52:X150 X51 Z51 Z52:Z150 AM50:AM150 S155:S156 AM156:AN255 AM15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ESTEBAN CONTRERAS MARQUEZ</dc:creator>
  <cp:lastModifiedBy>JHODSMAN HIDALGO PENAGOS VILLALOBOS</cp:lastModifiedBy>
  <dcterms:created xsi:type="dcterms:W3CDTF">2025-09-11T03:04:25Z</dcterms:created>
  <dcterms:modified xsi:type="dcterms:W3CDTF">2025-10-27T12:17:10Z</dcterms:modified>
</cp:coreProperties>
</file>